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jonat\Desktop\Wendeka Risk\portofolio\exemple_tarification_IARD\"/>
    </mc:Choice>
  </mc:AlternateContent>
  <xr:revisionPtr revIDLastSave="0" documentId="13_ncr:1_{6D9A4AE0-85E5-43E7-8F87-4FBED37CB922}" xr6:coauthVersionLast="47" xr6:coauthVersionMax="47" xr10:uidLastSave="{00000000-0000-0000-0000-000000000000}"/>
  <bookViews>
    <workbookView xWindow="19470" yWindow="-16320" windowWidth="29040" windowHeight="15720" xr2:uid="{00000000-000D-0000-FFFF-FFFF00000000}"/>
  </bookViews>
  <sheets>
    <sheet name="exterior_cladding" sheetId="1" r:id="rId1"/>
    <sheet name="residence_stability_group" sheetId="2" r:id="rId2"/>
    <sheet name="deductible" sheetId="3" r:id="rId3"/>
    <sheet name="region" sheetId="4" r:id="rId4"/>
    <sheet name="alarm_system" sheetId="5" r:id="rId5"/>
    <sheet name="hydrant_proximity" sheetId="6" r:id="rId6"/>
    <sheet name="fire_station_proximity" sheetId="7" r:id="rId7"/>
    <sheet name="heating_type" sheetId="8" r:id="rId8"/>
    <sheet name="fidelity_cat" sheetId="9" r:id="rId9"/>
    <sheet name="insured_employment" sheetId="10" r:id="rId10"/>
    <sheet name="multi_product_discount" sheetId="11" r:id="rId11"/>
    <sheet name="smoker" sheetId="12" r:id="rId12"/>
    <sheet name="auxiliary_heating" sheetId="13" r:id="rId13"/>
    <sheet name="etat_toit" sheetId="14" r:id="rId14"/>
    <sheet name="credit_score_level" sheetId="15" r:id="rId15"/>
    <sheet name="past_claims2plus" sheetId="16" r:id="rId16"/>
    <sheet name="group_age_oldest_insured" sheetId="17" r:id="rId17"/>
    <sheet name="marital_status" sheetId="18" r:id="rId18"/>
    <sheet name="house_type" sheetId="19" r:id="rId19"/>
    <sheet name="water_body_proximity" sheetId="20" r:id="rId20"/>
    <sheet name="skylight_presence" sheetId="21" r:id="rId21"/>
    <sheet name="room_rental" sheetId="22" r:id="rId22"/>
    <sheet name="commercial_activities" sheetId="23" r:id="rId23"/>
  </sheets>
  <definedNames>
    <definedName name="_xlnm._FilterDatabase" localSheetId="0" hidden="1">exterior_cladding!$A$52:$I$56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4" i="1" l="1"/>
  <c r="I55" i="1"/>
  <c r="I53" i="1"/>
  <c r="C56" i="1"/>
  <c r="J8" i="1"/>
  <c r="K8" i="1"/>
  <c r="L8" i="1"/>
  <c r="J9" i="1"/>
  <c r="K9" i="1"/>
  <c r="L9" i="1"/>
  <c r="J10" i="1"/>
  <c r="K10" i="1"/>
  <c r="L10" i="1"/>
  <c r="I9" i="1"/>
  <c r="I10" i="1"/>
  <c r="I8" i="1"/>
  <c r="J5" i="1"/>
  <c r="K5" i="1"/>
  <c r="L5" i="1"/>
  <c r="J6" i="1"/>
  <c r="K6" i="1"/>
  <c r="L6" i="1"/>
  <c r="J7" i="1"/>
  <c r="K7" i="1"/>
  <c r="L7" i="1"/>
  <c r="I6" i="1"/>
  <c r="I7" i="1"/>
  <c r="I5" i="1"/>
  <c r="M5" i="1" s="1"/>
  <c r="H8" i="1" a="1"/>
  <c r="H8" i="1" s="1"/>
  <c r="H5" i="1" a="1"/>
  <c r="H5" i="1" s="1"/>
  <c r="M7" i="1" l="1"/>
  <c r="M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<sst xmlns="http://schemas.openxmlformats.org/spreadsheetml/2006/main" count="4390" uniqueCount="164">
  <si>
    <t>Variable : exterior_cladding - Tableau par année</t>
  </si>
  <si>
    <t>Variable</t>
  </si>
  <si>
    <t>Modalite</t>
  </si>
  <si>
    <t>client_start_year</t>
  </si>
  <si>
    <t>Exposure</t>
  </si>
  <si>
    <t>Freq_pred</t>
  </si>
  <si>
    <t>exterior_cladding</t>
  </si>
  <si>
    <t>Brick</t>
  </si>
  <si>
    <t>2009</t>
  </si>
  <si>
    <t>Vinyl</t>
  </si>
  <si>
    <t>Wood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</si>
  <si>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</si>
  <si>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</si>
  <si>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</si>
  <si>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</si>
  <si>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</si>
  <si>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</si>
  <si>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</si>
  <si>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</si>
  <si>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</si>
  <si>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</si>
  <si>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</si>
  <si>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</si>
  <si>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</si>
  <si>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</si>
  <si>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Variable : exterior_cladding - Tableau global (toutes années)</t>
  </si>
  <si>
    <t>Claims</t>
  </si>
  <si>
    <t>Freq_obs</t>
  </si>
  <si>
    <t>Freq_glm</t>
  </si>
  <si>
    <t>Lower</t>
  </si>
  <si>
    <t>Upper</t>
  </si>
  <si>
    <t>Variable : residence_stability_group - Tableau par année</t>
  </si>
  <si>
    <t>residence_stability_group</t>
  </si>
  <si>
    <t>Modérément stable</t>
  </si>
  <si>
    <t>Stable</t>
  </si>
  <si>
    <t>Très instable</t>
  </si>
  <si>
    <t>Très stable</t>
  </si>
  <si>
    <t>Variable : residence_stability_group - Tableau global (toutes années)</t>
  </si>
  <si>
    <t>Variable : deductible - Tableau par année</t>
  </si>
  <si>
    <t>deductible</t>
  </si>
  <si>
    <t>1000</t>
  </si>
  <si>
    <t>2000</t>
  </si>
  <si>
    <t>250</t>
  </si>
  <si>
    <t>500</t>
  </si>
  <si>
    <t>Variable : deductible - Tableau global (toutes années)</t>
  </si>
  <si>
    <t>Variable : region - Tableau par année</t>
  </si>
  <si>
    <t>region</t>
  </si>
  <si>
    <t>Estrie</t>
  </si>
  <si>
    <t>Hamilton</t>
  </si>
  <si>
    <t>Huron</t>
  </si>
  <si>
    <t>Laurentides</t>
  </si>
  <si>
    <t>Laval</t>
  </si>
  <si>
    <t>Montreal</t>
  </si>
  <si>
    <t>Niagara</t>
  </si>
  <si>
    <t>Ottawa</t>
  </si>
  <si>
    <t>Outaouais</t>
  </si>
  <si>
    <t>Quebec City</t>
  </si>
  <si>
    <t>Toronto</t>
  </si>
  <si>
    <t>York</t>
  </si>
  <si>
    <t>Variable : region - Tableau global (toutes années)</t>
  </si>
  <si>
    <t>Variable : alarm_system - Tableau par année</t>
  </si>
  <si>
    <t>alarm_system</t>
  </si>
  <si>
    <t>Fire and Theft</t>
  </si>
  <si>
    <t>Fire only</t>
  </si>
  <si>
    <t>No alarm system</t>
  </si>
  <si>
    <t>Theft only</t>
  </si>
  <si>
    <t>Variable : alarm_system - Tableau global (toutes années)</t>
  </si>
  <si>
    <t>Variable : hydrant_proximity - Tableau par année</t>
  </si>
  <si>
    <t>hydrant_proximity</t>
  </si>
  <si>
    <t>No</t>
  </si>
  <si>
    <t>Yes</t>
  </si>
  <si>
    <t>Variable : hydrant_proximity - Tableau global (toutes années)</t>
  </si>
  <si>
    <t>Variable : fire_station_proximity - Tableau par année</t>
  </si>
  <si>
    <t>fire_station_proximity</t>
  </si>
  <si>
    <t>Variable : fire_station_proximity - Tableau global (toutes années)</t>
  </si>
  <si>
    <t>Variable : heating_type - Tableau par année</t>
  </si>
  <si>
    <t>heating_type</t>
  </si>
  <si>
    <t>Electricity</t>
  </si>
  <si>
    <t>Gas/Oil</t>
  </si>
  <si>
    <t>Other</t>
  </si>
  <si>
    <t>Variable : heating_type - Tableau global (toutes années)</t>
  </si>
  <si>
    <t>Variable : fidelity_cat - Tableau par année</t>
  </si>
  <si>
    <t>fidelity_cat</t>
  </si>
  <si>
    <t>&lt;=2</t>
  </si>
  <si>
    <t>&gt;10</t>
  </si>
  <si>
    <t>2-6</t>
  </si>
  <si>
    <t>6-10</t>
  </si>
  <si>
    <t>Variable : fidelity_cat - Tableau global (toutes années)</t>
  </si>
  <si>
    <t>Variable : insured_employment - Tableau par année</t>
  </si>
  <si>
    <t>insured_employment</t>
  </si>
  <si>
    <t>Healthcare</t>
  </si>
  <si>
    <t>Insurance</t>
  </si>
  <si>
    <t>Public Service</t>
  </si>
  <si>
    <t>Retired</t>
  </si>
  <si>
    <t>Student</t>
  </si>
  <si>
    <t>Unemployed</t>
  </si>
  <si>
    <t>Variable : insured_employment - Tableau global (toutes années)</t>
  </si>
  <si>
    <t>Variable : multi_product_discount - Tableau par année</t>
  </si>
  <si>
    <t>multi_product_discount</t>
  </si>
  <si>
    <t>Variable : multi_product_discount - Tableau global (toutes années)</t>
  </si>
  <si>
    <t>Variable : smoker - Tableau par année</t>
  </si>
  <si>
    <t>smoker</t>
  </si>
  <si>
    <t>Variable : smoker - Tableau global (toutes années)</t>
  </si>
  <si>
    <t>Variable : auxiliary_heating - Tableau par année</t>
  </si>
  <si>
    <t>auxiliary_heating</t>
  </si>
  <si>
    <t>Variable : auxiliary_heating - Tableau global (toutes années)</t>
  </si>
  <si>
    <t>Variable : etat_toit - Tableau par année</t>
  </si>
  <si>
    <t>etat_toit</t>
  </si>
  <si>
    <t>Ancien</t>
  </si>
  <si>
    <t>Bon</t>
  </si>
  <si>
    <t>Neuf</t>
  </si>
  <si>
    <t>Variable : etat_toit - Tableau global (toutes années)</t>
  </si>
  <si>
    <t>Variable : credit_score_level - Tableau par année</t>
  </si>
  <si>
    <t>credit_score_level</t>
  </si>
  <si>
    <t>1%-20%</t>
  </si>
  <si>
    <t>21%-40%</t>
  </si>
  <si>
    <t>41%-60%</t>
  </si>
  <si>
    <t>61%-80%</t>
  </si>
  <si>
    <t>81%-100%</t>
  </si>
  <si>
    <t>Variable : credit_score_level - Tableau global (toutes années)</t>
  </si>
  <si>
    <t>Variable : past_claims2plus - Tableau par année</t>
  </si>
  <si>
    <t>past_claims2plus</t>
  </si>
  <si>
    <t>&gt;=2</t>
  </si>
  <si>
    <t>0</t>
  </si>
  <si>
    <t>1</t>
  </si>
  <si>
    <t>Variable : past_claims2plus - Tableau global (toutes années)</t>
  </si>
  <si>
    <t>Variable : group_age_oldest_insured - Tableau par année</t>
  </si>
  <si>
    <t>group_age_oldest_insured</t>
  </si>
  <si>
    <t>Adolescent</t>
  </si>
  <si>
    <t>Adulte</t>
  </si>
  <si>
    <t>Aîné</t>
  </si>
  <si>
    <t>Jeune adulte</t>
  </si>
  <si>
    <t>Variable : group_age_oldest_insured - Tableau global (toutes années)</t>
  </si>
  <si>
    <t>Variable : marital_status - Tableau par année</t>
  </si>
  <si>
    <t>marital_status</t>
  </si>
  <si>
    <t>Divorced</t>
  </si>
  <si>
    <t>Married</t>
  </si>
  <si>
    <t>Single</t>
  </si>
  <si>
    <t>Widowed</t>
  </si>
  <si>
    <t>Variable : marital_status - Tableau global (toutes années)</t>
  </si>
  <si>
    <t>Variable : house_type - Tableau par année</t>
  </si>
  <si>
    <t>house_type</t>
  </si>
  <si>
    <t>Commercial building</t>
  </si>
  <si>
    <t>Detached</t>
  </si>
  <si>
    <t>Duplex</t>
  </si>
  <si>
    <t>Farm</t>
  </si>
  <si>
    <t>Row house</t>
  </si>
  <si>
    <t>Semi-detached</t>
  </si>
  <si>
    <t>Triplex</t>
  </si>
  <si>
    <t>Variable : house_type - Tableau global (toutes années)</t>
  </si>
  <si>
    <t>Variable : water_body_proximity - Tableau par année</t>
  </si>
  <si>
    <t>water_body_proximity</t>
  </si>
  <si>
    <t>Variable : water_body_proximity - Tableau global (toutes années)</t>
  </si>
  <si>
    <t>Variable : skylight_presence - Tableau par année</t>
  </si>
  <si>
    <t>skylight_presence</t>
  </si>
  <si>
    <t>Variable : skylight_presence - Tableau global (toutes années)</t>
  </si>
  <si>
    <t>Variable : room_rental - Tableau par année</t>
  </si>
  <si>
    <t>room_rental</t>
  </si>
  <si>
    <t>Variable : room_rental - Tableau global (toutes années)</t>
  </si>
  <si>
    <t>Variable : commercial_activities - Tableau par année</t>
  </si>
  <si>
    <t>commercial_activities</t>
  </si>
  <si>
    <t>Variable : commercial_activities - Tableau global (toutes années)</t>
  </si>
  <si>
    <t>Frequence</t>
  </si>
  <si>
    <t>Relativité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</si>
</sst>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Cohérence des résultats d'une année à l'autre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exterior_cladding!$G$5</c:f>
              <c:strCache>
                <c:ptCount val="1"/>
                <c:pt idx="0">
                  <c:v>Exposure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exterior_cladding!$H$8:$H$10</c:f>
              <c:strCache>
                <c:ptCount val="3"/>
                <c:pt idx="0">
                  <c:v>Brick</c:v>
                </c:pt>
                <c:pt idx="1">
                  <c:v>Vinyl</c:v>
                </c:pt>
                <c:pt idx="2">
                  <c:v>Wood</c:v>
                </c:pt>
              </c:strCache>
            </c:strRef>
          </c:cat>
          <c:val>
            <c:numRef>
              <c:f>exterior_cladding!$M$5:$M$7</c:f>
              <c:numCache>
                <c:formatCode>General</c:formatCode>
                <c:ptCount val="3"/>
                <c:pt idx="0">
                  <c:v>25530.5699685051</c:v>
                </c:pt>
                <c:pt idx="1">
                  <c:v>10525.844564581901</c:v>
                </c:pt>
                <c:pt idx="2">
                  <c:v>18924.41019471419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20-473F-A4D4-AA4DAC96F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61677455"/>
        <c:axId val="1861679535"/>
      </c:barChart>
      <c:lineChart>
        <c:grouping val="standard"/>
        <c:varyColors val="0"/>
        <c:ser>
          <c:idx val="1"/>
          <c:order val="1"/>
          <c:tx>
            <c:strRef>
              <c:f>exterior_cladding!$I$4</c:f>
              <c:strCache>
                <c:ptCount val="1"/>
                <c:pt idx="0">
                  <c:v>2023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exterior_cladding!$I$8:$I$10</c:f>
              <c:numCache>
                <c:formatCode>General</c:formatCode>
                <c:ptCount val="3"/>
                <c:pt idx="0">
                  <c:v>2.29780894613996</c:v>
                </c:pt>
                <c:pt idx="1">
                  <c:v>5.53219464601999</c:v>
                </c:pt>
                <c:pt idx="2">
                  <c:v>4.8831174673837303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20-473F-A4D4-AA4DAC96F99A}"/>
            </c:ext>
          </c:extLst>
        </c:ser>
        <c:ser>
          <c:idx val="2"/>
          <c:order val="2"/>
          <c:tx>
            <c:strRef>
              <c:f>exterior_cladding!$J$4</c:f>
              <c:strCache>
                <c:ptCount val="1"/>
                <c:pt idx="0">
                  <c:v>2022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exterior_cladding!$J$8:$J$10</c:f>
              <c:numCache>
                <c:formatCode>General</c:formatCode>
                <c:ptCount val="3"/>
                <c:pt idx="0">
                  <c:v>2.9080059430276202</c:v>
                </c:pt>
                <c:pt idx="1">
                  <c:v>6.829612520735</c:v>
                </c:pt>
                <c:pt idx="2">
                  <c:v>6.2980846737865699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20-473F-A4D4-AA4DAC96F99A}"/>
            </c:ext>
          </c:extLst>
        </c:ser>
        <c:ser>
          <c:idx val="3"/>
          <c:order val="3"/>
          <c:tx>
            <c:strRef>
              <c:f>exterior_cladding!$K$4</c:f>
              <c:strCache>
                <c:ptCount val="1"/>
                <c:pt idx="0">
                  <c:v>2021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exterior_cladding!$K$8:$K$10</c:f>
              <c:numCache>
                <c:formatCode>General</c:formatCode>
                <c:ptCount val="3"/>
                <c:pt idx="0">
                  <c:v>3.0940724724334099</c:v>
                </c:pt>
                <c:pt idx="1">
                  <c:v>7.35641019692188</c:v>
                </c:pt>
                <c:pt idx="2">
                  <c:v>6.51297025663784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20-473F-A4D4-AA4DAC96F99A}"/>
            </c:ext>
          </c:extLst>
        </c:ser>
        <c:ser>
          <c:idx val="4"/>
          <c:order val="4"/>
          <c:tx>
            <c:strRef>
              <c:f>exterior_cladding!$L$4</c:f>
              <c:strCache>
                <c:ptCount val="1"/>
                <c:pt idx="0">
                  <c:v>2020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exterior_cladding!$L$8:$L$10</c:f>
              <c:numCache>
                <c:formatCode>General</c:formatCode>
                <c:ptCount val="3"/>
                <c:pt idx="0">
                  <c:v>2.55338755640709</c:v>
                </c:pt>
                <c:pt idx="1">
                  <c:v>5.62725134235684</c:v>
                </c:pt>
                <c:pt idx="2">
                  <c:v>5.3061345668948796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20-473F-A4D4-AA4DAC96F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247728"/>
        <c:axId val="315246480"/>
      </c:lineChart>
      <c:catAx>
        <c:axId val="186167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1679535"/>
        <c:crosses val="autoZero"/>
        <c:auto val="1"/>
        <c:lblAlgn val="ctr"/>
        <c:lblOffset val="100"/>
        <c:noMultiLvlLbl val="0"/>
      </c:catAx>
      <c:valAx>
        <c:axId val="186167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1677455"/>
        <c:crosses val="autoZero"/>
        <c:crossBetween val="between"/>
      </c:valAx>
      <c:valAx>
        <c:axId val="31524648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5247728"/>
        <c:crosses val="max"/>
        <c:crossBetween val="between"/>
      </c:valAx>
      <c:catAx>
        <c:axId val="315247728"/>
        <c:scaling>
          <c:orientation val="minMax"/>
        </c:scaling>
        <c:delete val="1"/>
        <c:axPos val="b"/>
        <c:majorTickMark val="none"/>
        <c:minorTickMark val="none"/>
        <c:tickLblPos val="nextTo"/>
        <c:crossAx val="3152464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Effet de la variable exterior_cladding</a:t>
            </a:r>
            <a:r>
              <a:rPr lang="fr-FR" baseline="0"/>
              <a:t> sur la fréquence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exterior_cladding!$C$52</c:f>
              <c:strCache>
                <c:ptCount val="1"/>
                <c:pt idx="0">
                  <c:v>Exposure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exterior_cladding!$B$53:$B$55</c:f>
              <c:strCache>
                <c:ptCount val="3"/>
                <c:pt idx="0">
                  <c:v>Brick</c:v>
                </c:pt>
                <c:pt idx="1">
                  <c:v>Wood</c:v>
                </c:pt>
                <c:pt idx="2">
                  <c:v>Vinyl</c:v>
                </c:pt>
              </c:strCache>
            </c:strRef>
          </c:cat>
          <c:val>
            <c:numRef>
              <c:f>exterior_cladding!$C$53:$C$55</c:f>
              <c:numCache>
                <c:formatCode>General</c:formatCode>
                <c:ptCount val="3"/>
                <c:pt idx="0">
                  <c:v>152329.407610653</c:v>
                </c:pt>
                <c:pt idx="1">
                  <c:v>113330.108281393</c:v>
                </c:pt>
                <c:pt idx="2">
                  <c:v>51927.963774692696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8-4126-ABB1-2642C8BAF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10039968"/>
        <c:axId val="310042880"/>
      </c:barChart>
      <c:lineChart>
        <c:grouping val="standard"/>
        <c:varyColors val="0"/>
        <c:ser>
          <c:idx val="1"/>
          <c:order val="1"/>
          <c:tx>
            <c:strRef>
              <c:f>exterior_cladding!$E$52</c:f>
              <c:strCache>
                <c:ptCount val="1"/>
                <c:pt idx="0">
                  <c:v>Freq_obs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3.9389463318562246E-2"/>
                  <c:y val="-0.1486068111455109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318-4126-ABB1-2642C8BAFFE0}"/>
                </c:ext>
              </c:extLst>
            </c:dLbl>
            <c:dLbl>
              <c:idx val="1"/>
              <c:layout>
                <c:manualLayout>
                  <c:x val="-7.0901033973412186E-2"/>
                  <c:y val="-3.30237358101135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318-4126-ABB1-2642C8BAFFE0}"/>
                </c:ext>
              </c:extLst>
            </c:dLbl>
            <c:dLbl>
              <c:idx val="2"/>
              <c:layout>
                <c:manualLayout>
                  <c:x val="-3.7419990152634315E-2"/>
                  <c:y val="-3.71517027863777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318-4126-ABB1-2642C8BAFF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exterior_cladding!$B$53:$B$55</c:f>
              <c:strCache>
                <c:ptCount val="3"/>
                <c:pt idx="0">
                  <c:v>Brick</c:v>
                </c:pt>
                <c:pt idx="1">
                  <c:v>Wood</c:v>
                </c:pt>
                <c:pt idx="2">
                  <c:v>Vinyl</c:v>
                </c:pt>
              </c:strCache>
            </c:strRef>
          </c:cat>
          <c:val>
            <c:numRef>
              <c:f>exterior_cladding!$E$53:$E$55</c:f>
              <c:numCache>
                <c:formatCode>0.00</c:formatCode>
                <c:ptCount val="3"/>
                <c:pt idx="0">
                  <c:v>2.5536763130745399</c:v>
                </c:pt>
                <c:pt idx="1">
                  <c:v>5.3392695831328796</c:v>
                </c:pt>
                <c:pt idx="2">
                  <c:v>5.6019912751089098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18-4126-ABB1-2642C8BAFFE0}"/>
            </c:ext>
          </c:extLst>
        </c:ser>
        <c:ser>
          <c:idx val="2"/>
          <c:order val="2"/>
          <c:tx>
            <c:strRef>
              <c:f>exterior_cladding!$F$52</c:f>
              <c:strCache>
                <c:ptCount val="1"/>
                <c:pt idx="0">
                  <c:v>Freq_glm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5.5145248645987126E-2"/>
                  <c:y val="4.95356037151703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318-4126-ABB1-2642C8BAFFE0}"/>
                </c:ext>
              </c:extLst>
            </c:dLbl>
            <c:dLbl>
              <c:idx val="1"/>
              <c:layout>
                <c:manualLayout>
                  <c:x val="5.5145248645987195E-2"/>
                  <c:y val="6.19195046439628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318-4126-ABB1-2642C8BAFF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exterior_cladding!$B$53:$B$55</c:f>
              <c:strCache>
                <c:ptCount val="3"/>
                <c:pt idx="0">
                  <c:v>Brick</c:v>
                </c:pt>
                <c:pt idx="1">
                  <c:v>Wood</c:v>
                </c:pt>
                <c:pt idx="2">
                  <c:v>Vinyl</c:v>
                </c:pt>
              </c:strCache>
            </c:strRef>
          </c:cat>
          <c:val>
            <c:numRef>
              <c:f>exterior_cladding!$F$53:$F$55</c:f>
              <c:numCache>
                <c:formatCode>0.00</c:formatCode>
                <c:ptCount val="3"/>
                <c:pt idx="0">
                  <c:v>2.4440648113611698</c:v>
                </c:pt>
                <c:pt idx="1">
                  <c:v>5.1078089115412597</c:v>
                </c:pt>
                <c:pt idx="2">
                  <c:v>5.3103355406513897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18-4126-ABB1-2642C8BAF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8746080"/>
        <c:axId val="298748160"/>
      </c:lineChart>
      <c:catAx>
        <c:axId val="31003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0042880"/>
        <c:crosses val="autoZero"/>
        <c:auto val="1"/>
        <c:lblAlgn val="ctr"/>
        <c:lblOffset val="100"/>
        <c:noMultiLvlLbl val="0"/>
      </c:catAx>
      <c:valAx>
        <c:axId val="31004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0039968"/>
        <c:crosses val="autoZero"/>
        <c:crossBetween val="between"/>
      </c:valAx>
      <c:valAx>
        <c:axId val="298748160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8746080"/>
        <c:crosses val="max"/>
        <c:crossBetween val="between"/>
      </c:valAx>
      <c:catAx>
        <c:axId val="2987460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987481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Calcul</a:t>
            </a:r>
            <a:r>
              <a:rPr lang="fr-FR" baseline="0"/>
              <a:t> de l'écart-type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exterior_cladding!$I$52</c:f>
              <c:strCache>
                <c:ptCount val="1"/>
                <c:pt idx="0">
                  <c:v>Relativité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exterior_cladding!$B$53:$B$55</c:f>
              <c:strCache>
                <c:ptCount val="3"/>
                <c:pt idx="0">
                  <c:v>Brick</c:v>
                </c:pt>
                <c:pt idx="1">
                  <c:v>Wood</c:v>
                </c:pt>
                <c:pt idx="2">
                  <c:v>Vinyl</c:v>
                </c:pt>
              </c:strCache>
            </c:strRef>
          </c:cat>
          <c:val>
            <c:numRef>
              <c:f>exterior_cladding!$I$53:$I$55</c:f>
              <c:numCache>
                <c:formatCode>0.00</c:formatCode>
                <c:ptCount val="3"/>
                <c:pt idx="0">
                  <c:v>1</c:v>
                </c:pt>
                <c:pt idx="1">
                  <c:v>2.0898827591632378</c:v>
                </c:pt>
                <c:pt idx="2">
                  <c:v>2.1727474312327715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C2-452C-BBB1-43D98AFD0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06495151"/>
        <c:axId val="406494735"/>
      </c:barChart>
      <c:lineChart>
        <c:grouping val="standard"/>
        <c:varyColors val="0"/>
        <c:ser>
          <c:idx val="2"/>
          <c:order val="1"/>
          <c:tx>
            <c:strRef>
              <c:f>exterior_cladding!$H$52</c:f>
              <c:strCache>
                <c:ptCount val="1"/>
                <c:pt idx="0">
                  <c:v>Upper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exterior_cladding!$B$53:$B$55</c:f>
              <c:strCache>
                <c:ptCount val="3"/>
                <c:pt idx="0">
                  <c:v>Brick</c:v>
                </c:pt>
                <c:pt idx="1">
                  <c:v>Wood</c:v>
                </c:pt>
                <c:pt idx="2">
                  <c:v>Vinyl</c:v>
                </c:pt>
              </c:strCache>
            </c:strRef>
          </c:cat>
          <c:val>
            <c:numRef>
              <c:f>exterior_cladding!$H$53:$H$55</c:f>
              <c:numCache>
                <c:formatCode>General</c:formatCode>
                <c:ptCount val="3"/>
                <c:pt idx="0">
                  <c:v>2.4450877720713602</c:v>
                </c:pt>
                <c:pt idx="1">
                  <c:v>5.1103738556443403</c:v>
                </c:pt>
                <c:pt idx="2">
                  <c:v>5.3144527597915197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6C2-452C-BBB1-43D98AFD0D93}"/>
            </c:ext>
          </c:extLst>
        </c:ser>
        <c:ser>
          <c:idx val="3"/>
          <c:order val="2"/>
          <c:tx>
            <c:strRef>
              <c:f>exterior_cladding!$G$52</c:f>
              <c:strCache>
                <c:ptCount val="1"/>
                <c:pt idx="0">
                  <c:v>Lower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exterior_cladding!$B$53:$B$55</c:f>
              <c:strCache>
                <c:ptCount val="3"/>
                <c:pt idx="0">
                  <c:v>Brick</c:v>
                </c:pt>
                <c:pt idx="1">
                  <c:v>Wood</c:v>
                </c:pt>
                <c:pt idx="2">
                  <c:v>Vinyl</c:v>
                </c:pt>
              </c:strCache>
            </c:strRef>
          </c:cat>
          <c:val>
            <c:numRef>
              <c:f>exterior_cladding!$G$53:$G$55</c:f>
              <c:numCache>
                <c:formatCode>General</c:formatCode>
                <c:ptCount val="3"/>
                <c:pt idx="0">
                  <c:v>2.4430418506509701</c:v>
                </c:pt>
                <c:pt idx="1">
                  <c:v>5.1052439674381702</c:v>
                </c:pt>
                <c:pt idx="2">
                  <c:v>5.3062183215112597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6C2-452C-BBB1-43D98AFD0D93}"/>
            </c:ext>
          </c:extLst>
        </c:ser>
        <c:ser>
          <c:idx val="1"/>
          <c:order val="3"/>
          <c:tx>
            <c:strRef>
              <c:f>exterior_cladding!$F$52</c:f>
              <c:strCache>
                <c:ptCount val="1"/>
                <c:pt idx="0">
                  <c:v>Freq_glm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exterior_cladding!$B$53:$B$55</c:f>
              <c:strCache>
                <c:ptCount val="3"/>
                <c:pt idx="0">
                  <c:v>Brick</c:v>
                </c:pt>
                <c:pt idx="1">
                  <c:v>Wood</c:v>
                </c:pt>
                <c:pt idx="2">
                  <c:v>Vinyl</c:v>
                </c:pt>
              </c:strCache>
            </c:strRef>
          </c:cat>
          <c:val>
            <c:numRef>
              <c:f>exterior_cladding!$F$53:$F$55</c:f>
              <c:numCache>
                <c:formatCode>0.00</c:formatCode>
                <c:ptCount val="3"/>
                <c:pt idx="0">
                  <c:v>2.4440648113611698</c:v>
                </c:pt>
                <c:pt idx="1">
                  <c:v>5.1078089115412597</c:v>
                </c:pt>
                <c:pt idx="2">
                  <c:v>5.3103355406513897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6C2-452C-BBB1-43D98AFD0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2131439"/>
        <c:axId val="1062132687"/>
      </c:lineChart>
      <c:catAx>
        <c:axId val="106213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62132687"/>
        <c:crosses val="autoZero"/>
        <c:auto val="1"/>
        <c:lblAlgn val="ctr"/>
        <c:lblOffset val="100"/>
        <c:noMultiLvlLbl val="0"/>
      </c:catAx>
      <c:valAx>
        <c:axId val="1062132687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62131439"/>
        <c:crosses val="autoZero"/>
        <c:crossBetween val="between"/>
        <c:minorUnit val="1.0000000000000002E-3"/>
      </c:valAx>
      <c:valAx>
        <c:axId val="406494735"/>
        <c:scaling>
          <c:orientation val="minMax"/>
          <c:min val="0"/>
        </c:scaling>
        <c:delete val="0"/>
        <c:axPos val="r"/>
        <c:numFmt formatCode="0.0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6495151"/>
        <c:crosses val="max"/>
        <c:crossBetween val="between"/>
      </c:valAx>
      <c:catAx>
        <c:axId val="4064951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06494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11</xdr:row>
      <xdr:rowOff>38100</xdr:rowOff>
    </xdr:from>
    <xdr:to>
      <xdr:col>11</xdr:col>
      <xdr:colOff>914399</xdr:colOff>
      <xdr:row>29</xdr:row>
      <xdr:rowOff>104775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20E3ECB6-F3E6-4531-8C3B-151D72E367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371474</xdr:colOff>
      <xdr:row>30</xdr:row>
      <xdr:rowOff>19049</xdr:rowOff>
    </xdr:from>
    <xdr:to>
      <xdr:col>11</xdr:col>
      <xdr:colOff>876299</xdr:colOff>
      <xdr:row>47</xdr:row>
      <xdr:rowOff>19049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4FE8F55D-C278-4D44-B410-BEE0D0FB5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1114424</xdr:colOff>
      <xdr:row>10</xdr:row>
      <xdr:rowOff>114299</xdr:rowOff>
    </xdr:from>
    <xdr:to>
      <xdr:col>16</xdr:col>
      <xdr:colOff>609600</xdr:colOff>
      <xdr:row>29</xdr:row>
      <xdr:rowOff>95250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58C7C337-F585-4669-839F-EBA1B5794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"/>
  <sheetViews>
    <sheetView tabSelected="1" topLeftCell="A11" zoomScale="80" zoomScaleNormal="80" workbookViewId="0">
      <selection activeCell="P35" sqref="P35"/>
    </sheetView>
  </sheetViews>
  <sheetFormatPr baseColWidth="10" defaultRowHeight="14.25" x14ac:dyDescent="0.45"/>
  <cols>
    <col min="1" max="1" width="22.46484375" customWidth="1"/>
    <col min="9" max="10" width="19.6640625" bestFit="1" customWidth="1"/>
    <col min="11" max="11" width="22.33203125" bestFit="1" customWidth="1"/>
    <col min="12" max="12" width="17.796875" bestFit="1" customWidth="1"/>
    <col min="13" max="13" width="18.73046875" bestFit="1" customWidth="1"/>
    <col min="14" max="14" width="17.796875" bestFit="1" customWidth="1"/>
    <col min="15" max="15" width="18.73046875" bestFit="1" customWidth="1"/>
    <col min="16" max="16" width="17.796875" bestFit="1" customWidth="1"/>
    <col min="17" max="17" width="23.3984375" bestFit="1" customWidth="1"/>
    <col min="18" max="18" width="22.46484375" bestFit="1" customWidth="1"/>
    <col min="19" max="19" width="18.73046875" bestFit="1" customWidth="1"/>
    <col min="20" max="20" width="17.796875" bestFit="1" customWidth="1"/>
    <col min="21" max="21" width="18.73046875" bestFit="1" customWidth="1"/>
    <col min="22" max="22" width="17.796875" bestFit="1" customWidth="1"/>
    <col min="23" max="23" width="18.73046875" bestFit="1" customWidth="1"/>
    <col min="24" max="24" width="17.796875" bestFit="1" customWidth="1"/>
    <col min="25" max="25" width="18.73046875" bestFit="1" customWidth="1"/>
    <col min="26" max="26" width="17.796875" bestFit="1" customWidth="1"/>
    <col min="27" max="27" width="18.73046875" bestFit="1" customWidth="1"/>
    <col min="28" max="28" width="17.796875" bestFit="1" customWidth="1"/>
    <col min="29" max="29" width="18.73046875" bestFit="1" customWidth="1"/>
    <col min="30" max="30" width="17.796875" bestFit="1" customWidth="1"/>
    <col min="31" max="31" width="18.73046875" bestFit="1" customWidth="1"/>
    <col min="32" max="32" width="17.796875" bestFit="1" customWidth="1"/>
    <col min="33" max="33" width="18.73046875" bestFit="1" customWidth="1"/>
    <col min="34" max="34" width="17.796875" bestFit="1" customWidth="1"/>
    <col min="35" max="35" width="18.73046875" bestFit="1" customWidth="1"/>
    <col min="36" max="36" width="17.796875" bestFit="1" customWidth="1"/>
    <col min="37" max="37" width="18.73046875" bestFit="1" customWidth="1"/>
    <col min="38" max="38" width="17.796875" bestFit="1" customWidth="1"/>
    <col min="39" max="39" width="18.73046875" bestFit="1" customWidth="1"/>
    <col min="40" max="40" width="17.796875" bestFit="1" customWidth="1"/>
    <col min="41" max="41" width="23.3984375" bestFit="1" customWidth="1"/>
    <col min="42" max="42" width="22.46484375" bestFit="1" customWidth="1"/>
  </cols>
  <sheetData>
    <row r="1" spans="1:13" x14ac:dyDescent="0.45">
      <c r="A1" t="s">
        <v>0</v>
      </c>
    </row>
    <row r="3" spans="1:13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13" x14ac:dyDescent="0.45">
      <c r="A4" t="s">
        <v>6</v>
      </c>
      <c r="B4" t="s">
        <v>7</v>
      </c>
      <c r="C4" s="1" t="s">
        <v>24</v>
      </c>
      <c r="D4">
        <v>1782.79366342662</v>
      </c>
      <c r="E4">
        <v>2.29780894613996</v>
      </c>
      <c r="I4">
        <v>2023</v>
      </c>
      <c r="J4">
        <v>2022</v>
      </c>
      <c r="K4">
        <v>2021</v>
      </c>
      <c r="L4">
        <v>2020</v>
      </c>
    </row>
    <row r="5" spans="1:13" x14ac:dyDescent="0.45">
      <c r="A5" t="s">
        <v>6</v>
      </c>
      <c r="B5" t="s">
        <v>9</v>
      </c>
      <c r="C5" s="1" t="s">
        <v>24</v>
      </c>
      <c r="D5">
        <v>749.00585260054095</v>
      </c>
      <c r="E5">
        <v>5.53219464601999</v>
      </c>
      <c r="G5" s="2" t="s">
        <v>4</v>
      </c>
      <c r="H5" t="str" cm="1">
        <f t="array" ref="H5:H7">B4:B6</f>
        <v>Brick</v>
      </c>
      <c r="I5">
        <f>SUMIFS($D:$D,$C:$C,I$4,$B:$B,$H5)</f>
        <v>1782.79366342662</v>
      </c>
      <c r="J5">
        <f t="shared" ref="J5:L5" si="0">SUMIFS($D:$D,$C:$C,J$4,$B:$B,$H5)</f>
        <v>4964.7368753743604</v>
      </c>
      <c r="K5">
        <f t="shared" si="0"/>
        <v>7866.30974974532</v>
      </c>
      <c r="L5">
        <f t="shared" si="0"/>
        <v>10916.7296799588</v>
      </c>
      <c r="M5">
        <f>SUM(I5:L5)</f>
        <v>25530.5699685051</v>
      </c>
    </row>
    <row r="6" spans="1:13" x14ac:dyDescent="0.45">
      <c r="A6" t="s">
        <v>6</v>
      </c>
      <c r="B6" t="s">
        <v>10</v>
      </c>
      <c r="C6" s="1" t="s">
        <v>24</v>
      </c>
      <c r="D6">
        <v>1330.9350582120501</v>
      </c>
      <c r="E6">
        <v>4.8831174673837303</v>
      </c>
      <c r="G6" s="2"/>
      <c r="H6" t="str">
        <v>Vinyl</v>
      </c>
      <c r="I6">
        <f t="shared" ref="I6:L7" si="1">SUMIFS($D:$D,$C:$C,I$4,$B:$B,$H6)</f>
        <v>749.00585260054095</v>
      </c>
      <c r="J6">
        <f t="shared" si="1"/>
        <v>2046.1598092061099</v>
      </c>
      <c r="K6">
        <f t="shared" si="1"/>
        <v>3306.3734438668198</v>
      </c>
      <c r="L6">
        <f t="shared" si="1"/>
        <v>4424.3054589084304</v>
      </c>
      <c r="M6">
        <f t="shared" ref="M6:M7" si="2">SUM(I6:L6)</f>
        <v>10525.844564581901</v>
      </c>
    </row>
    <row r="7" spans="1:13" x14ac:dyDescent="0.45">
      <c r="A7" t="s">
        <v>6</v>
      </c>
      <c r="B7" t="s">
        <v>7</v>
      </c>
      <c r="C7" s="1" t="s">
        <v>23</v>
      </c>
      <c r="D7">
        <v>4964.7368753743604</v>
      </c>
      <c r="E7">
        <v>2.9080059430276202</v>
      </c>
      <c r="G7" s="2"/>
      <c r="H7" t="str">
        <v>Wood</v>
      </c>
      <c r="I7">
        <f t="shared" si="1"/>
        <v>1330.9350582120501</v>
      </c>
      <c r="J7">
        <f t="shared" si="1"/>
        <v>3625.3928510463402</v>
      </c>
      <c r="K7">
        <f t="shared" si="1"/>
        <v>5806.8256558803796</v>
      </c>
      <c r="L7">
        <f t="shared" si="1"/>
        <v>8161.2566295754204</v>
      </c>
      <c r="M7">
        <f t="shared" si="2"/>
        <v>18924.41019471419</v>
      </c>
    </row>
    <row r="8" spans="1:13" x14ac:dyDescent="0.45">
      <c r="A8" t="s">
        <v>6</v>
      </c>
      <c r="B8" t="s">
        <v>9</v>
      </c>
      <c r="C8" s="1" t="s">
        <v>23</v>
      </c>
      <c r="D8">
        <v>2046.1598092061099</v>
      </c>
      <c r="E8">
        <v>6.829612520735</v>
      </c>
      <c r="G8" s="2" t="s">
        <v>162</v>
      </c>
      <c r="H8" t="str" cm="1">
        <f t="array" ref="H8:H10">_xlfn.ANCHORARRAY(H5)</f>
        <v>Brick</v>
      </c>
      <c r="I8">
        <f>SUMIFS($E:$E,$C:$C,I$4,$B:$B,$H8)</f>
        <v>2.29780894613996</v>
      </c>
      <c r="J8">
        <f t="shared" ref="J8:L8" si="3">SUMIFS($E:$E,$C:$C,J$4,$B:$B,$H8)</f>
        <v>2.9080059430276202</v>
      </c>
      <c r="K8">
        <f t="shared" si="3"/>
        <v>3.0940724724334099</v>
      </c>
      <c r="L8">
        <f t="shared" si="3"/>
        <v>2.55338755640709</v>
      </c>
    </row>
    <row r="9" spans="1:13" x14ac:dyDescent="0.45">
      <c r="A9" t="s">
        <v>6</v>
      </c>
      <c r="B9" t="s">
        <v>10</v>
      </c>
      <c r="C9" s="1" t="s">
        <v>23</v>
      </c>
      <c r="D9">
        <v>3625.3928510463402</v>
      </c>
      <c r="E9">
        <v>6.2980846737865699</v>
      </c>
      <c r="G9" s="2"/>
      <c r="H9" t="str">
        <v>Vinyl</v>
      </c>
      <c r="I9">
        <f t="shared" ref="I9:L10" si="4">SUMIFS($E:$E,$C:$C,I$4,$B:$B,$H9)</f>
        <v>5.53219464601999</v>
      </c>
      <c r="J9">
        <f t="shared" si="4"/>
        <v>6.829612520735</v>
      </c>
      <c r="K9">
        <f t="shared" si="4"/>
        <v>7.35641019692188</v>
      </c>
      <c r="L9">
        <f t="shared" si="4"/>
        <v>5.62725134235684</v>
      </c>
    </row>
    <row r="10" spans="1:13" x14ac:dyDescent="0.45">
      <c r="A10" t="s">
        <v>6</v>
      </c>
      <c r="B10" t="s">
        <v>7</v>
      </c>
      <c r="C10" s="1" t="s">
        <v>22</v>
      </c>
      <c r="D10">
        <v>7866.30974974532</v>
      </c>
      <c r="E10">
        <v>3.0940724724334099</v>
      </c>
      <c r="G10" s="2"/>
      <c r="H10" t="str">
        <v>Wood</v>
      </c>
      <c r="I10">
        <f t="shared" si="4"/>
        <v>4.8831174673837303</v>
      </c>
      <c r="J10">
        <f t="shared" si="4"/>
        <v>6.2980846737865699</v>
      </c>
      <c r="K10">
        <f t="shared" si="4"/>
        <v>6.51297025663784</v>
      </c>
      <c r="L10">
        <f t="shared" si="4"/>
        <v>5.3061345668948796</v>
      </c>
    </row>
    <row r="11" spans="1:13" x14ac:dyDescent="0.45">
      <c r="A11" t="s">
        <v>6</v>
      </c>
      <c r="B11" t="s">
        <v>9</v>
      </c>
      <c r="C11" s="1" t="s">
        <v>22</v>
      </c>
      <c r="D11">
        <v>3306.3734438668198</v>
      </c>
      <c r="E11">
        <v>7.35641019692188</v>
      </c>
    </row>
    <row r="12" spans="1:13" x14ac:dyDescent="0.45">
      <c r="A12" t="s">
        <v>6</v>
      </c>
      <c r="B12" t="s">
        <v>10</v>
      </c>
      <c r="C12" s="1" t="s">
        <v>22</v>
      </c>
      <c r="D12">
        <v>5806.8256558803796</v>
      </c>
      <c r="E12">
        <v>6.51297025663784</v>
      </c>
    </row>
    <row r="13" spans="1:13" x14ac:dyDescent="0.45">
      <c r="A13" t="s">
        <v>6</v>
      </c>
      <c r="B13" t="s">
        <v>7</v>
      </c>
      <c r="C13" s="1" t="s">
        <v>21</v>
      </c>
      <c r="D13">
        <v>10916.7296799588</v>
      </c>
      <c r="E13">
        <v>2.55338755640709</v>
      </c>
    </row>
    <row r="14" spans="1:13" x14ac:dyDescent="0.45">
      <c r="A14" t="s">
        <v>6</v>
      </c>
      <c r="B14" t="s">
        <v>9</v>
      </c>
      <c r="C14" s="1" t="s">
        <v>21</v>
      </c>
      <c r="D14">
        <v>4424.3054589084304</v>
      </c>
      <c r="E14">
        <v>5.62725134235684</v>
      </c>
    </row>
    <row r="15" spans="1:13" x14ac:dyDescent="0.45">
      <c r="A15" t="s">
        <v>6</v>
      </c>
      <c r="B15" t="s">
        <v>10</v>
      </c>
      <c r="C15" s="1" t="s">
        <v>21</v>
      </c>
      <c r="D15">
        <v>8161.2566295754204</v>
      </c>
      <c r="E15">
        <v>5.3061345668948796</v>
      </c>
    </row>
    <row r="16" spans="1:13" x14ac:dyDescent="0.45">
      <c r="A16" t="s">
        <v>6</v>
      </c>
      <c r="B16" t="s">
        <v>7</v>
      </c>
      <c r="C16" s="1" t="s">
        <v>20</v>
      </c>
      <c r="D16">
        <v>13562.9104680491</v>
      </c>
      <c r="E16">
        <v>2.58172675831841</v>
      </c>
    </row>
    <row r="17" spans="1:5" x14ac:dyDescent="0.45">
      <c r="A17" t="s">
        <v>6</v>
      </c>
      <c r="B17" t="s">
        <v>9</v>
      </c>
      <c r="C17" s="1" t="s">
        <v>20</v>
      </c>
      <c r="D17">
        <v>5471.6320526543104</v>
      </c>
      <c r="E17">
        <v>5.6506566996766896</v>
      </c>
    </row>
    <row r="18" spans="1:5" x14ac:dyDescent="0.45">
      <c r="A18" t="s">
        <v>6</v>
      </c>
      <c r="B18" t="s">
        <v>10</v>
      </c>
      <c r="C18" s="1" t="s">
        <v>20</v>
      </c>
      <c r="D18">
        <v>10236.1363758476</v>
      </c>
      <c r="E18">
        <v>5.3750060691684203</v>
      </c>
    </row>
    <row r="19" spans="1:5" x14ac:dyDescent="0.45">
      <c r="A19" t="s">
        <v>6</v>
      </c>
      <c r="B19" t="s">
        <v>7</v>
      </c>
      <c r="C19" s="1" t="s">
        <v>19</v>
      </c>
      <c r="D19">
        <v>14733.173645531901</v>
      </c>
      <c r="E19">
        <v>2.6618721408278199</v>
      </c>
    </row>
    <row r="20" spans="1:5" x14ac:dyDescent="0.45">
      <c r="A20" t="s">
        <v>6</v>
      </c>
      <c r="B20" t="s">
        <v>9</v>
      </c>
      <c r="C20" s="1" t="s">
        <v>19</v>
      </c>
      <c r="D20">
        <v>5663.4149059072997</v>
      </c>
      <c r="E20">
        <v>5.8380004655414997</v>
      </c>
    </row>
    <row r="21" spans="1:5" x14ac:dyDescent="0.45">
      <c r="A21" t="s">
        <v>6</v>
      </c>
      <c r="B21" t="s">
        <v>10</v>
      </c>
      <c r="C21" s="1" t="s">
        <v>19</v>
      </c>
      <c r="D21">
        <v>10810.515720752301</v>
      </c>
      <c r="E21">
        <v>5.6116805410867796</v>
      </c>
    </row>
    <row r="22" spans="1:5" x14ac:dyDescent="0.45">
      <c r="A22" t="s">
        <v>6</v>
      </c>
      <c r="B22" t="s">
        <v>7</v>
      </c>
      <c r="C22" s="1" t="s">
        <v>18</v>
      </c>
      <c r="D22">
        <v>14933.2848814729</v>
      </c>
      <c r="E22">
        <v>2.6461114426030301</v>
      </c>
    </row>
    <row r="23" spans="1:5" x14ac:dyDescent="0.45">
      <c r="A23" t="s">
        <v>6</v>
      </c>
      <c r="B23" t="s">
        <v>9</v>
      </c>
      <c r="C23" s="1" t="s">
        <v>18</v>
      </c>
      <c r="D23">
        <v>5608.2959606026698</v>
      </c>
      <c r="E23">
        <v>5.61073930777569</v>
      </c>
    </row>
    <row r="24" spans="1:5" x14ac:dyDescent="0.45">
      <c r="A24" t="s">
        <v>6</v>
      </c>
      <c r="B24" t="s">
        <v>10</v>
      </c>
      <c r="C24" s="1" t="s">
        <v>18</v>
      </c>
      <c r="D24">
        <v>11237.6415912749</v>
      </c>
      <c r="E24">
        <v>5.5180657783334102</v>
      </c>
    </row>
    <row r="25" spans="1:5" x14ac:dyDescent="0.45">
      <c r="A25" t="s">
        <v>6</v>
      </c>
      <c r="B25" t="s">
        <v>7</v>
      </c>
      <c r="C25" s="1" t="s">
        <v>17</v>
      </c>
      <c r="D25">
        <v>15209.2946053254</v>
      </c>
      <c r="E25">
        <v>2.3007402859019499</v>
      </c>
    </row>
    <row r="26" spans="1:5" x14ac:dyDescent="0.45">
      <c r="A26" t="s">
        <v>6</v>
      </c>
      <c r="B26" t="s">
        <v>9</v>
      </c>
      <c r="C26" s="1" t="s">
        <v>17</v>
      </c>
      <c r="D26">
        <v>5076.9470353175402</v>
      </c>
      <c r="E26">
        <v>4.7701671762950397</v>
      </c>
    </row>
    <row r="27" spans="1:5" x14ac:dyDescent="0.45">
      <c r="A27" t="s">
        <v>6</v>
      </c>
      <c r="B27" t="s">
        <v>10</v>
      </c>
      <c r="C27" s="1" t="s">
        <v>17</v>
      </c>
      <c r="D27">
        <v>11368.425374061</v>
      </c>
      <c r="E27">
        <v>4.7511529320469199</v>
      </c>
    </row>
    <row r="28" spans="1:5" x14ac:dyDescent="0.45">
      <c r="A28" t="s">
        <v>6</v>
      </c>
      <c r="B28" t="s">
        <v>7</v>
      </c>
      <c r="C28" s="1" t="s">
        <v>16</v>
      </c>
      <c r="D28">
        <v>14194.6225556259</v>
      </c>
      <c r="E28">
        <v>2.28314841558492</v>
      </c>
    </row>
    <row r="29" spans="1:5" x14ac:dyDescent="0.45">
      <c r="A29" t="s">
        <v>6</v>
      </c>
      <c r="B29" t="s">
        <v>9</v>
      </c>
      <c r="C29" s="1" t="s">
        <v>16</v>
      </c>
      <c r="D29">
        <v>4532.89087986308</v>
      </c>
      <c r="E29">
        <v>4.6942248799237003</v>
      </c>
    </row>
    <row r="30" spans="1:5" x14ac:dyDescent="0.45">
      <c r="A30" t="s">
        <v>6</v>
      </c>
      <c r="B30" t="s">
        <v>10</v>
      </c>
      <c r="C30" s="1" t="s">
        <v>16</v>
      </c>
      <c r="D30">
        <v>10864.720635063901</v>
      </c>
      <c r="E30">
        <v>4.7634852520675102</v>
      </c>
    </row>
    <row r="31" spans="1:5" x14ac:dyDescent="0.45">
      <c r="A31" t="s">
        <v>6</v>
      </c>
      <c r="B31" t="s">
        <v>7</v>
      </c>
      <c r="C31" s="1" t="s">
        <v>15</v>
      </c>
      <c r="D31">
        <v>13849.140573623201</v>
      </c>
      <c r="E31">
        <v>2.27041506844462</v>
      </c>
    </row>
    <row r="32" spans="1:5" x14ac:dyDescent="0.45">
      <c r="A32" t="s">
        <v>6</v>
      </c>
      <c r="B32" t="s">
        <v>9</v>
      </c>
      <c r="C32" s="1" t="s">
        <v>15</v>
      </c>
      <c r="D32">
        <v>4196.6603444440898</v>
      </c>
      <c r="E32">
        <v>4.6868510726366699</v>
      </c>
    </row>
    <row r="33" spans="1:5" x14ac:dyDescent="0.45">
      <c r="A33" t="s">
        <v>6</v>
      </c>
      <c r="B33" t="s">
        <v>10</v>
      </c>
      <c r="C33" s="1" t="s">
        <v>15</v>
      </c>
      <c r="D33">
        <v>10235.725270532201</v>
      </c>
      <c r="E33">
        <v>4.7487320886504403</v>
      </c>
    </row>
    <row r="34" spans="1:5" x14ac:dyDescent="0.45">
      <c r="A34" t="s">
        <v>6</v>
      </c>
      <c r="B34" t="s">
        <v>7</v>
      </c>
      <c r="C34" s="1" t="s">
        <v>14</v>
      </c>
      <c r="D34">
        <v>13599.2098150452</v>
      </c>
      <c r="E34">
        <v>2.2619756073236701</v>
      </c>
    </row>
    <row r="35" spans="1:5" x14ac:dyDescent="0.45">
      <c r="A35" t="s">
        <v>6</v>
      </c>
      <c r="B35" t="s">
        <v>9</v>
      </c>
      <c r="C35" s="1" t="s">
        <v>14</v>
      </c>
      <c r="D35">
        <v>3700.9107251228202</v>
      </c>
      <c r="E35">
        <v>4.5910653924171898</v>
      </c>
    </row>
    <row r="36" spans="1:5" x14ac:dyDescent="0.45">
      <c r="A36" t="s">
        <v>6</v>
      </c>
      <c r="B36" t="s">
        <v>10</v>
      </c>
      <c r="C36" s="1" t="s">
        <v>14</v>
      </c>
      <c r="D36">
        <v>9990.8526267509606</v>
      </c>
      <c r="E36">
        <v>4.7541006794118301</v>
      </c>
    </row>
    <row r="37" spans="1:5" x14ac:dyDescent="0.45">
      <c r="A37" t="s">
        <v>6</v>
      </c>
      <c r="B37" t="s">
        <v>7</v>
      </c>
      <c r="C37" s="1" t="s">
        <v>13</v>
      </c>
      <c r="D37">
        <v>10926.100814926</v>
      </c>
      <c r="E37">
        <v>2.1617310922952599</v>
      </c>
    </row>
    <row r="38" spans="1:5" x14ac:dyDescent="0.45">
      <c r="A38" t="s">
        <v>6</v>
      </c>
      <c r="B38" t="s">
        <v>9</v>
      </c>
      <c r="C38" s="1" t="s">
        <v>13</v>
      </c>
      <c r="D38">
        <v>2924.7490186598402</v>
      </c>
      <c r="E38">
        <v>4.2827698366309503</v>
      </c>
    </row>
    <row r="39" spans="1:5" x14ac:dyDescent="0.45">
      <c r="A39" t="s">
        <v>6</v>
      </c>
      <c r="B39" t="s">
        <v>10</v>
      </c>
      <c r="C39" s="1" t="s">
        <v>13</v>
      </c>
      <c r="D39">
        <v>7956.3354955643599</v>
      </c>
      <c r="E39">
        <v>4.4982933572756298</v>
      </c>
    </row>
    <row r="40" spans="1:5" x14ac:dyDescent="0.45">
      <c r="A40" t="s">
        <v>6</v>
      </c>
      <c r="B40" t="s">
        <v>7</v>
      </c>
      <c r="C40" s="1" t="s">
        <v>12</v>
      </c>
      <c r="D40">
        <v>8031.5558813125999</v>
      </c>
      <c r="E40">
        <v>2.1812947481543601</v>
      </c>
    </row>
    <row r="41" spans="1:5" x14ac:dyDescent="0.45">
      <c r="A41" t="s">
        <v>6</v>
      </c>
      <c r="B41" t="s">
        <v>9</v>
      </c>
      <c r="C41" s="1" t="s">
        <v>12</v>
      </c>
      <c r="D41">
        <v>2119.2559648331699</v>
      </c>
      <c r="E41">
        <v>4.2326701226987202</v>
      </c>
    </row>
    <row r="42" spans="1:5" x14ac:dyDescent="0.45">
      <c r="A42" t="s">
        <v>6</v>
      </c>
      <c r="B42" t="s">
        <v>10</v>
      </c>
      <c r="C42" s="1" t="s">
        <v>12</v>
      </c>
      <c r="D42">
        <v>5937.6260526896804</v>
      </c>
      <c r="E42">
        <v>4.5301876473223901</v>
      </c>
    </row>
    <row r="43" spans="1:5" x14ac:dyDescent="0.45">
      <c r="A43" t="s">
        <v>6</v>
      </c>
      <c r="B43" t="s">
        <v>7</v>
      </c>
      <c r="C43" s="1" t="s">
        <v>11</v>
      </c>
      <c r="D43">
        <v>5250.2206598109597</v>
      </c>
      <c r="E43">
        <v>2.20590968333507</v>
      </c>
    </row>
    <row r="44" spans="1:5" x14ac:dyDescent="0.45">
      <c r="A44" t="s">
        <v>6</v>
      </c>
      <c r="B44" t="s">
        <v>9</v>
      </c>
      <c r="C44" s="1" t="s">
        <v>11</v>
      </c>
      <c r="D44">
        <v>1403.9668462145701</v>
      </c>
      <c r="E44">
        <v>4.34072825554796</v>
      </c>
    </row>
    <row r="45" spans="1:5" x14ac:dyDescent="0.45">
      <c r="A45" t="s">
        <v>6</v>
      </c>
      <c r="B45" t="s">
        <v>10</v>
      </c>
      <c r="C45" s="1" t="s">
        <v>11</v>
      </c>
      <c r="D45">
        <v>3851.4945900302801</v>
      </c>
      <c r="E45">
        <v>4.5259165656172602</v>
      </c>
    </row>
    <row r="46" spans="1:5" x14ac:dyDescent="0.45">
      <c r="A46" t="s">
        <v>6</v>
      </c>
      <c r="B46" t="s">
        <v>7</v>
      </c>
      <c r="C46" s="1" t="s">
        <v>8</v>
      </c>
      <c r="D46">
        <v>2509.3237414243799</v>
      </c>
      <c r="E46">
        <v>2.1843484939087698</v>
      </c>
    </row>
    <row r="47" spans="1:5" x14ac:dyDescent="0.45">
      <c r="A47" t="s">
        <v>6</v>
      </c>
      <c r="B47" t="s">
        <v>9</v>
      </c>
      <c r="C47" s="1" t="s">
        <v>8</v>
      </c>
      <c r="D47">
        <v>703.395476491463</v>
      </c>
      <c r="E47">
        <v>4.5808249791646096</v>
      </c>
    </row>
    <row r="48" spans="1:5" x14ac:dyDescent="0.45">
      <c r="A48" t="s">
        <v>6</v>
      </c>
      <c r="B48" t="s">
        <v>10</v>
      </c>
      <c r="C48" s="1" t="s">
        <v>8</v>
      </c>
      <c r="D48">
        <v>1916.2243541119799</v>
      </c>
      <c r="E48">
        <v>4.55382416140466</v>
      </c>
    </row>
    <row r="50" spans="1:9" x14ac:dyDescent="0.45">
      <c r="A50" t="s">
        <v>25</v>
      </c>
    </row>
    <row r="52" spans="1:9" x14ac:dyDescent="0.45">
      <c r="A52" t="s">
        <v>1</v>
      </c>
      <c r="B52" t="s">
        <v>2</v>
      </c>
      <c r="C52" t="s">
        <v>4</v>
      </c>
      <c r="D52" t="s">
        <v>26</v>
      </c>
      <c r="E52" t="s">
        <v>27</v>
      </c>
      <c r="F52" t="s">
        <v>28</v>
      </c>
      <c r="G52" t="s">
        <v>29</v>
      </c>
      <c r="H52" t="s">
        <v>30</v>
      </c>
      <c r="I52" t="s">
        <v>163</v>
      </c>
    </row>
    <row r="53" spans="1:9" x14ac:dyDescent="0.45">
      <c r="A53" t="s">
        <v>6</v>
      </c>
      <c r="B53" t="s">
        <v>7</v>
      </c>
      <c r="C53">
        <v>152329.407610653</v>
      </c>
      <c r="D53">
        <v>3890</v>
      </c>
      <c r="E53" s="1">
        <v>2.5536763130745399</v>
      </c>
      <c r="F53" s="1">
        <v>2.4440648113611698</v>
      </c>
      <c r="G53">
        <v>2.4430418506509701</v>
      </c>
      <c r="H53">
        <v>2.4450877720713602</v>
      </c>
      <c r="I53" s="1">
        <f>F53/$F$53</f>
        <v>1</v>
      </c>
    </row>
    <row r="54" spans="1:9" x14ac:dyDescent="0.45">
      <c r="A54" t="s">
        <v>6</v>
      </c>
      <c r="B54" t="s">
        <v>10</v>
      </c>
      <c r="C54">
        <v>113330.108281393</v>
      </c>
      <c r="D54">
        <v>6051</v>
      </c>
      <c r="E54" s="1">
        <v>5.3392695831328796</v>
      </c>
      <c r="F54" s="1">
        <v>5.1078089115412597</v>
      </c>
      <c r="G54">
        <v>5.1052439674381702</v>
      </c>
      <c r="H54">
        <v>5.1103738556443403</v>
      </c>
      <c r="I54" s="1">
        <f t="shared" ref="I54:I55" si="5">F54/$F$53</f>
        <v>2.0898827591632378</v>
      </c>
    </row>
    <row r="55" spans="1:9" x14ac:dyDescent="0.45">
      <c r="A55" t="s">
        <v>6</v>
      </c>
      <c r="B55" t="s">
        <v>9</v>
      </c>
      <c r="C55">
        <v>51927.963774692696</v>
      </c>
      <c r="D55">
        <v>2909</v>
      </c>
      <c r="E55" s="1">
        <v>5.6019912751089098</v>
      </c>
      <c r="F55" s="1">
        <v>5.3103355406513897</v>
      </c>
      <c r="G55">
        <v>5.3062183215112597</v>
      </c>
      <c r="H55">
        <v>5.3144527597915197</v>
      </c>
      <c r="I55" s="1">
        <f t="shared" si="5"/>
        <v>2.1727474312327715</v>
      </c>
    </row>
    <row r="56" spans="1:9" x14ac:dyDescent="0.45">
      <c r="C56">
        <f>MAX(C53:C55)</f>
        <v>152329.407610653</v>
      </c>
    </row>
  </sheetData>
  <autoFilter ref="A52:I56" xr:uid="{00000000-0001-0000-0000-000000000000}">
    <sortState xmlns:xlrd2="http://schemas.microsoft.com/office/spreadsheetml/2017/richdata2" ref="A53:I56">
      <sortCondition descending="1" ref="I52:I56"/>
    </sortState>
  </autoFilter>
  <mergeCells count="2">
    <mergeCell ref="G5:G7"/>
    <mergeCell ref="G8:G10"/>
  </mergeCells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1"/>
  <sheetViews>
    <sheetView workbookViewId="0"/>
  </sheetViews>
  <sheetFormatPr baseColWidth="10" defaultRowHeight="14.25" x14ac:dyDescent="0.45"/>
  <sheetData>
    <row r="1" spans="1:5" x14ac:dyDescent="0.45">
      <c r="A1" t="s">
        <v>31</v>
      </c>
    </row>
    <row r="3" spans="1:5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45">
      <c r="A4" t="s">
        <v>32</v>
      </c>
      <c r="B4" t="s">
        <v>33</v>
      </c>
      <c r="C4" t="s">
        <v>8</v>
      </c>
      <c r="D4">
        <v>887.974560375598</v>
      </c>
      <c r="E4">
        <v>4.2828708325335896</v>
      </c>
    </row>
    <row r="5" spans="1:5" x14ac:dyDescent="0.45">
      <c r="A5" t="s">
        <v>32</v>
      </c>
      <c r="B5" t="s">
        <v>34</v>
      </c>
      <c r="C5" t="s">
        <v>8</v>
      </c>
      <c r="D5">
        <v>2063.2305862642502</v>
      </c>
      <c r="E5">
        <v>2.8760705566673801</v>
      </c>
    </row>
    <row r="6" spans="1:5" x14ac:dyDescent="0.45">
      <c r="A6" t="s">
        <v>32</v>
      </c>
      <c r="B6" t="s">
        <v>35</v>
      </c>
      <c r="C6" t="s">
        <v>8</v>
      </c>
      <c r="D6">
        <v>331.09251732632498</v>
      </c>
      <c r="E6">
        <v>5.9544460914340398</v>
      </c>
    </row>
    <row r="7" spans="1:5" x14ac:dyDescent="0.45">
      <c r="A7" t="s">
        <v>32</v>
      </c>
      <c r="B7" t="s">
        <v>36</v>
      </c>
      <c r="C7" t="s">
        <v>8</v>
      </c>
      <c r="D7">
        <v>1846.6459080616401</v>
      </c>
      <c r="E7">
        <v>3.09803206482293</v>
      </c>
    </row>
    <row r="8" spans="1:5" x14ac:dyDescent="0.45">
      <c r="A8" t="s">
        <v>32</v>
      </c>
      <c r="B8" t="s">
        <v>33</v>
      </c>
      <c r="C8" t="s">
        <v>11</v>
      </c>
      <c r="D8">
        <v>1932.9695768622501</v>
      </c>
      <c r="E8">
        <v>4.1035081669980702</v>
      </c>
    </row>
    <row r="9" spans="1:5" x14ac:dyDescent="0.45">
      <c r="A9" t="s">
        <v>32</v>
      </c>
      <c r="B9" t="s">
        <v>34</v>
      </c>
      <c r="C9" t="s">
        <v>11</v>
      </c>
      <c r="D9">
        <v>4216.3284938890301</v>
      </c>
      <c r="E9">
        <v>2.8323458115029201</v>
      </c>
    </row>
    <row r="10" spans="1:5" x14ac:dyDescent="0.45">
      <c r="A10" t="s">
        <v>32</v>
      </c>
      <c r="B10" t="s">
        <v>35</v>
      </c>
      <c r="C10" t="s">
        <v>11</v>
      </c>
      <c r="D10">
        <v>653.52250932784102</v>
      </c>
      <c r="E10">
        <v>6.0083559871463796</v>
      </c>
    </row>
    <row r="11" spans="1:5" x14ac:dyDescent="0.45">
      <c r="A11" t="s">
        <v>32</v>
      </c>
      <c r="B11" t="s">
        <v>36</v>
      </c>
      <c r="C11" t="s">
        <v>11</v>
      </c>
      <c r="D11">
        <v>3702.86151597668</v>
      </c>
      <c r="E11">
        <v>3.0534875783236202</v>
      </c>
    </row>
    <row r="12" spans="1:5" x14ac:dyDescent="0.45">
      <c r="A12" t="s">
        <v>32</v>
      </c>
      <c r="B12" t="s">
        <v>33</v>
      </c>
      <c r="C12" t="s">
        <v>12</v>
      </c>
      <c r="D12">
        <v>3079.62639254549</v>
      </c>
      <c r="E12">
        <v>4.1126595885961201</v>
      </c>
    </row>
    <row r="13" spans="1:5" x14ac:dyDescent="0.45">
      <c r="A13" t="s">
        <v>32</v>
      </c>
      <c r="B13" t="s">
        <v>34</v>
      </c>
      <c r="C13" t="s">
        <v>12</v>
      </c>
      <c r="D13">
        <v>6468.1395686573396</v>
      </c>
      <c r="E13">
        <v>2.8581346909989098</v>
      </c>
    </row>
    <row r="14" spans="1:5" x14ac:dyDescent="0.45">
      <c r="A14" t="s">
        <v>32</v>
      </c>
      <c r="B14" t="s">
        <v>35</v>
      </c>
      <c r="C14" t="s">
        <v>12</v>
      </c>
      <c r="D14">
        <v>931.37129930739798</v>
      </c>
      <c r="E14">
        <v>5.6569040138434197</v>
      </c>
    </row>
    <row r="15" spans="1:5" x14ac:dyDescent="0.45">
      <c r="A15" t="s">
        <v>32</v>
      </c>
      <c r="B15" t="s">
        <v>36</v>
      </c>
      <c r="C15" t="s">
        <v>12</v>
      </c>
      <c r="D15">
        <v>5609.3006383252196</v>
      </c>
      <c r="E15">
        <v>3.0247826278156702</v>
      </c>
    </row>
    <row r="16" spans="1:5" x14ac:dyDescent="0.45">
      <c r="A16" t="s">
        <v>32</v>
      </c>
      <c r="B16" t="s">
        <v>33</v>
      </c>
      <c r="C16" t="s">
        <v>13</v>
      </c>
      <c r="D16">
        <v>4470.76462505582</v>
      </c>
      <c r="E16">
        <v>4.0190823146115999</v>
      </c>
    </row>
    <row r="17" spans="1:5" x14ac:dyDescent="0.45">
      <c r="A17" t="s">
        <v>32</v>
      </c>
      <c r="B17" t="s">
        <v>34</v>
      </c>
      <c r="C17" t="s">
        <v>13</v>
      </c>
      <c r="D17">
        <v>8390.6887538232004</v>
      </c>
      <c r="E17">
        <v>2.7865436727188801</v>
      </c>
    </row>
    <row r="18" spans="1:5" x14ac:dyDescent="0.45">
      <c r="A18" t="s">
        <v>32</v>
      </c>
      <c r="B18" t="s">
        <v>35</v>
      </c>
      <c r="C18" t="s">
        <v>13</v>
      </c>
      <c r="D18">
        <v>1254.3430326894299</v>
      </c>
      <c r="E18">
        <v>5.9702863036747598</v>
      </c>
    </row>
    <row r="19" spans="1:5" x14ac:dyDescent="0.45">
      <c r="A19" t="s">
        <v>32</v>
      </c>
      <c r="B19" t="s">
        <v>36</v>
      </c>
      <c r="C19" t="s">
        <v>13</v>
      </c>
      <c r="D19">
        <v>7691.3889175817603</v>
      </c>
      <c r="E19">
        <v>3.0029779223513402</v>
      </c>
    </row>
    <row r="20" spans="1:5" x14ac:dyDescent="0.45">
      <c r="A20" t="s">
        <v>32</v>
      </c>
      <c r="B20" t="s">
        <v>33</v>
      </c>
      <c r="C20" t="s">
        <v>14</v>
      </c>
      <c r="D20">
        <v>5924.1369210067996</v>
      </c>
      <c r="E20">
        <v>4.3172923238274796</v>
      </c>
    </row>
    <row r="21" spans="1:5" x14ac:dyDescent="0.45">
      <c r="A21" t="s">
        <v>32</v>
      </c>
      <c r="B21" t="s">
        <v>34</v>
      </c>
      <c r="C21" t="s">
        <v>14</v>
      </c>
      <c r="D21">
        <v>10344.9898071569</v>
      </c>
      <c r="E21">
        <v>2.9486734583101102</v>
      </c>
    </row>
    <row r="22" spans="1:5" x14ac:dyDescent="0.45">
      <c r="A22" t="s">
        <v>32</v>
      </c>
      <c r="B22" t="s">
        <v>35</v>
      </c>
      <c r="C22" t="s">
        <v>14</v>
      </c>
      <c r="D22">
        <v>1550.0408246970901</v>
      </c>
      <c r="E22">
        <v>6.2871897379710102</v>
      </c>
    </row>
    <row r="23" spans="1:5" x14ac:dyDescent="0.45">
      <c r="A23" t="s">
        <v>32</v>
      </c>
      <c r="B23" t="s">
        <v>36</v>
      </c>
      <c r="C23" t="s">
        <v>14</v>
      </c>
      <c r="D23">
        <v>9471.8056140582394</v>
      </c>
      <c r="E23">
        <v>3.1064926793287402</v>
      </c>
    </row>
    <row r="24" spans="1:5" x14ac:dyDescent="0.45">
      <c r="A24" t="s">
        <v>32</v>
      </c>
      <c r="B24" t="s">
        <v>33</v>
      </c>
      <c r="C24" t="s">
        <v>15</v>
      </c>
      <c r="D24">
        <v>6806.5057481293998</v>
      </c>
      <c r="E24">
        <v>4.3261194036854196</v>
      </c>
    </row>
    <row r="25" spans="1:5" x14ac:dyDescent="0.45">
      <c r="A25" t="s">
        <v>32</v>
      </c>
      <c r="B25" t="s">
        <v>34</v>
      </c>
      <c r="C25" t="s">
        <v>15</v>
      </c>
      <c r="D25">
        <v>10460.185869188899</v>
      </c>
      <c r="E25">
        <v>2.9399447016271001</v>
      </c>
    </row>
    <row r="26" spans="1:5" x14ac:dyDescent="0.45">
      <c r="A26" t="s">
        <v>32</v>
      </c>
      <c r="B26" t="s">
        <v>35</v>
      </c>
      <c r="C26" t="s">
        <v>15</v>
      </c>
      <c r="D26">
        <v>1688.8667614134699</v>
      </c>
      <c r="E26">
        <v>6.1372552624222401</v>
      </c>
    </row>
    <row r="27" spans="1:5" x14ac:dyDescent="0.45">
      <c r="A27" t="s">
        <v>32</v>
      </c>
      <c r="B27" t="s">
        <v>36</v>
      </c>
      <c r="C27" t="s">
        <v>15</v>
      </c>
      <c r="D27">
        <v>9325.9678098676995</v>
      </c>
      <c r="E27">
        <v>3.12632491189791</v>
      </c>
    </row>
    <row r="28" spans="1:5" x14ac:dyDescent="0.45">
      <c r="A28" t="s">
        <v>32</v>
      </c>
      <c r="B28" t="s">
        <v>33</v>
      </c>
      <c r="C28" t="s">
        <v>16</v>
      </c>
      <c r="D28">
        <v>7341.52731092263</v>
      </c>
      <c r="E28">
        <v>4.4096862002525103</v>
      </c>
    </row>
    <row r="29" spans="1:5" x14ac:dyDescent="0.45">
      <c r="A29" t="s">
        <v>32</v>
      </c>
      <c r="B29" t="s">
        <v>34</v>
      </c>
      <c r="C29" t="s">
        <v>16</v>
      </c>
      <c r="D29">
        <v>10805.598638634199</v>
      </c>
      <c r="E29">
        <v>2.9325956285689401</v>
      </c>
    </row>
    <row r="30" spans="1:5" x14ac:dyDescent="0.45">
      <c r="A30" t="s">
        <v>32</v>
      </c>
      <c r="B30" t="s">
        <v>35</v>
      </c>
      <c r="C30" t="s">
        <v>16</v>
      </c>
      <c r="D30">
        <v>1722.29530890147</v>
      </c>
      <c r="E30">
        <v>6.0942381583291798</v>
      </c>
    </row>
    <row r="31" spans="1:5" x14ac:dyDescent="0.45">
      <c r="A31" t="s">
        <v>32</v>
      </c>
      <c r="B31" t="s">
        <v>36</v>
      </c>
      <c r="C31" t="s">
        <v>16</v>
      </c>
      <c r="D31">
        <v>9722.8128120946803</v>
      </c>
      <c r="E31">
        <v>3.17628400945663</v>
      </c>
    </row>
    <row r="32" spans="1:5" x14ac:dyDescent="0.45">
      <c r="A32" t="s">
        <v>32</v>
      </c>
      <c r="B32" t="s">
        <v>33</v>
      </c>
      <c r="C32" t="s">
        <v>17</v>
      </c>
      <c r="D32">
        <v>8381.7874589251096</v>
      </c>
      <c r="E32">
        <v>4.3965891482163597</v>
      </c>
    </row>
    <row r="33" spans="1:5" x14ac:dyDescent="0.45">
      <c r="A33" t="s">
        <v>32</v>
      </c>
      <c r="B33" t="s">
        <v>34</v>
      </c>
      <c r="C33" t="s">
        <v>17</v>
      </c>
      <c r="D33">
        <v>11007.244912514099</v>
      </c>
      <c r="E33">
        <v>2.9250160771981499</v>
      </c>
    </row>
    <row r="34" spans="1:5" x14ac:dyDescent="0.45">
      <c r="A34" t="s">
        <v>32</v>
      </c>
      <c r="B34" t="s">
        <v>35</v>
      </c>
      <c r="C34" t="s">
        <v>17</v>
      </c>
      <c r="D34">
        <v>1947.7023134072499</v>
      </c>
      <c r="E34">
        <v>6.15795676645652</v>
      </c>
    </row>
    <row r="35" spans="1:5" x14ac:dyDescent="0.45">
      <c r="A35" t="s">
        <v>32</v>
      </c>
      <c r="B35" t="s">
        <v>36</v>
      </c>
      <c r="C35" t="s">
        <v>17</v>
      </c>
      <c r="D35">
        <v>10317.9323298575</v>
      </c>
      <c r="E35">
        <v>3.11904930977949</v>
      </c>
    </row>
    <row r="36" spans="1:5" x14ac:dyDescent="0.45">
      <c r="A36" t="s">
        <v>32</v>
      </c>
      <c r="B36" t="s">
        <v>33</v>
      </c>
      <c r="C36" t="s">
        <v>18</v>
      </c>
      <c r="D36">
        <v>8724.0729991291591</v>
      </c>
      <c r="E36">
        <v>4.9929034629603404</v>
      </c>
    </row>
    <row r="37" spans="1:5" x14ac:dyDescent="0.45">
      <c r="A37" t="s">
        <v>32</v>
      </c>
      <c r="B37" t="s">
        <v>34</v>
      </c>
      <c r="C37" t="s">
        <v>18</v>
      </c>
      <c r="D37">
        <v>10928.092761498599</v>
      </c>
      <c r="E37">
        <v>3.3108014495052198</v>
      </c>
    </row>
    <row r="38" spans="1:5" x14ac:dyDescent="0.45">
      <c r="A38" t="s">
        <v>32</v>
      </c>
      <c r="B38" t="s">
        <v>35</v>
      </c>
      <c r="C38" t="s">
        <v>18</v>
      </c>
      <c r="D38">
        <v>2708.9579890844502</v>
      </c>
      <c r="E38">
        <v>7.3428527746465102</v>
      </c>
    </row>
    <row r="39" spans="1:5" x14ac:dyDescent="0.45">
      <c r="A39" t="s">
        <v>32</v>
      </c>
      <c r="B39" t="s">
        <v>36</v>
      </c>
      <c r="C39" t="s">
        <v>18</v>
      </c>
      <c r="D39">
        <v>9418.0986836383508</v>
      </c>
      <c r="E39">
        <v>3.5422424292643599</v>
      </c>
    </row>
    <row r="40" spans="1:5" x14ac:dyDescent="0.45">
      <c r="A40" t="s">
        <v>32</v>
      </c>
      <c r="B40" t="s">
        <v>33</v>
      </c>
      <c r="C40" t="s">
        <v>19</v>
      </c>
      <c r="D40">
        <v>8171.20161569213</v>
      </c>
      <c r="E40">
        <v>4.9657690287266103</v>
      </c>
    </row>
    <row r="41" spans="1:5" x14ac:dyDescent="0.45">
      <c r="A41" t="s">
        <v>32</v>
      </c>
      <c r="B41" t="s">
        <v>34</v>
      </c>
      <c r="C41" t="s">
        <v>19</v>
      </c>
      <c r="D41">
        <v>10441.331510473899</v>
      </c>
      <c r="E41">
        <v>3.2847245636371301</v>
      </c>
    </row>
    <row r="42" spans="1:5" x14ac:dyDescent="0.45">
      <c r="A42" t="s">
        <v>32</v>
      </c>
      <c r="B42" t="s">
        <v>35</v>
      </c>
      <c r="C42" t="s">
        <v>19</v>
      </c>
      <c r="D42">
        <v>3428.36427084464</v>
      </c>
      <c r="E42">
        <v>7.5618078677763103</v>
      </c>
    </row>
    <row r="43" spans="1:5" x14ac:dyDescent="0.45">
      <c r="A43" t="s">
        <v>32</v>
      </c>
      <c r="B43" t="s">
        <v>36</v>
      </c>
      <c r="C43" t="s">
        <v>19</v>
      </c>
      <c r="D43">
        <v>9166.2068751807892</v>
      </c>
      <c r="E43">
        <v>3.5072494610037501</v>
      </c>
    </row>
    <row r="44" spans="1:5" x14ac:dyDescent="0.45">
      <c r="A44" t="s">
        <v>32</v>
      </c>
      <c r="B44" t="s">
        <v>33</v>
      </c>
      <c r="C44" t="s">
        <v>20</v>
      </c>
      <c r="D44">
        <v>7387.4802105688696</v>
      </c>
      <c r="E44">
        <v>4.8046025979876799</v>
      </c>
    </row>
    <row r="45" spans="1:5" x14ac:dyDescent="0.45">
      <c r="A45" t="s">
        <v>32</v>
      </c>
      <c r="B45" t="s">
        <v>34</v>
      </c>
      <c r="C45" t="s">
        <v>20</v>
      </c>
      <c r="D45">
        <v>9492.0686135973392</v>
      </c>
      <c r="E45">
        <v>3.1834505379648901</v>
      </c>
    </row>
    <row r="46" spans="1:5" x14ac:dyDescent="0.45">
      <c r="A46" t="s">
        <v>32</v>
      </c>
      <c r="B46" t="s">
        <v>35</v>
      </c>
      <c r="C46" t="s">
        <v>20</v>
      </c>
      <c r="D46">
        <v>3756.6421268239501</v>
      </c>
      <c r="E46">
        <v>6.9287688648078598</v>
      </c>
    </row>
    <row r="47" spans="1:5" x14ac:dyDescent="0.45">
      <c r="A47" t="s">
        <v>32</v>
      </c>
      <c r="B47" t="s">
        <v>36</v>
      </c>
      <c r="C47" t="s">
        <v>20</v>
      </c>
      <c r="D47">
        <v>8634.4879455607806</v>
      </c>
      <c r="E47">
        <v>3.38329220800756</v>
      </c>
    </row>
    <row r="48" spans="1:5" x14ac:dyDescent="0.45">
      <c r="A48" t="s">
        <v>32</v>
      </c>
      <c r="B48" t="s">
        <v>33</v>
      </c>
      <c r="C48" t="s">
        <v>21</v>
      </c>
      <c r="D48">
        <v>5616.6532600909104</v>
      </c>
      <c r="E48">
        <v>4.63414368566335</v>
      </c>
    </row>
    <row r="49" spans="1:5" x14ac:dyDescent="0.45">
      <c r="A49" t="s">
        <v>32</v>
      </c>
      <c r="B49" t="s">
        <v>34</v>
      </c>
      <c r="C49" t="s">
        <v>21</v>
      </c>
      <c r="D49">
        <v>7589.5152384079902</v>
      </c>
      <c r="E49">
        <v>3.1000103037589901</v>
      </c>
    </row>
    <row r="50" spans="1:5" x14ac:dyDescent="0.45">
      <c r="A50" t="s">
        <v>32</v>
      </c>
      <c r="B50" t="s">
        <v>35</v>
      </c>
      <c r="C50" t="s">
        <v>21</v>
      </c>
      <c r="D50">
        <v>3509.6128221788099</v>
      </c>
      <c r="E50">
        <v>6.8877505246776698</v>
      </c>
    </row>
    <row r="51" spans="1:5" x14ac:dyDescent="0.45">
      <c r="A51" t="s">
        <v>32</v>
      </c>
      <c r="B51" t="s">
        <v>36</v>
      </c>
      <c r="C51" t="s">
        <v>21</v>
      </c>
      <c r="D51">
        <v>6786.5104477649002</v>
      </c>
      <c r="E51">
        <v>3.2928196900023501</v>
      </c>
    </row>
    <row r="52" spans="1:5" x14ac:dyDescent="0.45">
      <c r="A52" t="s">
        <v>32</v>
      </c>
      <c r="B52" t="s">
        <v>33</v>
      </c>
      <c r="C52" t="s">
        <v>22</v>
      </c>
      <c r="D52">
        <v>3622.3576561525201</v>
      </c>
      <c r="E52">
        <v>5.4612519690500401</v>
      </c>
    </row>
    <row r="53" spans="1:5" x14ac:dyDescent="0.45">
      <c r="A53" t="s">
        <v>32</v>
      </c>
      <c r="B53" t="s">
        <v>34</v>
      </c>
      <c r="C53" t="s">
        <v>22</v>
      </c>
      <c r="D53">
        <v>5395.3475787334301</v>
      </c>
      <c r="E53">
        <v>3.6945575707669902</v>
      </c>
    </row>
    <row r="54" spans="1:5" x14ac:dyDescent="0.45">
      <c r="A54" t="s">
        <v>32</v>
      </c>
      <c r="B54" t="s">
        <v>35</v>
      </c>
      <c r="C54" t="s">
        <v>22</v>
      </c>
      <c r="D54">
        <v>3090.62552933904</v>
      </c>
      <c r="E54">
        <v>8.9799001068159807</v>
      </c>
    </row>
    <row r="55" spans="1:5" x14ac:dyDescent="0.45">
      <c r="A55" t="s">
        <v>32</v>
      </c>
      <c r="B55" t="s">
        <v>36</v>
      </c>
      <c r="C55" t="s">
        <v>22</v>
      </c>
      <c r="D55">
        <v>4871.1780852675302</v>
      </c>
      <c r="E55">
        <v>3.90298108092392</v>
      </c>
    </row>
    <row r="56" spans="1:5" x14ac:dyDescent="0.45">
      <c r="A56" t="s">
        <v>32</v>
      </c>
      <c r="B56" t="s">
        <v>33</v>
      </c>
      <c r="C56" t="s">
        <v>23</v>
      </c>
      <c r="D56">
        <v>2192.4049449777699</v>
      </c>
      <c r="E56">
        <v>5.2507447104588403</v>
      </c>
    </row>
    <row r="57" spans="1:5" x14ac:dyDescent="0.45">
      <c r="A57" t="s">
        <v>32</v>
      </c>
      <c r="B57" t="s">
        <v>34</v>
      </c>
      <c r="C57" t="s">
        <v>23</v>
      </c>
      <c r="D57">
        <v>3343.4732947714001</v>
      </c>
      <c r="E57">
        <v>3.4673670261673601</v>
      </c>
    </row>
    <row r="58" spans="1:5" x14ac:dyDescent="0.45">
      <c r="A58" t="s">
        <v>32</v>
      </c>
      <c r="B58" t="s">
        <v>35</v>
      </c>
      <c r="C58" t="s">
        <v>23</v>
      </c>
      <c r="D58">
        <v>1994.4983240394099</v>
      </c>
      <c r="E58">
        <v>8.3914492296928707</v>
      </c>
    </row>
    <row r="59" spans="1:5" x14ac:dyDescent="0.45">
      <c r="A59" t="s">
        <v>32</v>
      </c>
      <c r="B59" t="s">
        <v>36</v>
      </c>
      <c r="C59" t="s">
        <v>23</v>
      </c>
      <c r="D59">
        <v>3105.9129718382301</v>
      </c>
      <c r="E59">
        <v>3.6715307539172399</v>
      </c>
    </row>
    <row r="60" spans="1:5" x14ac:dyDescent="0.45">
      <c r="A60" t="s">
        <v>32</v>
      </c>
      <c r="B60" t="s">
        <v>33</v>
      </c>
      <c r="C60" t="s">
        <v>24</v>
      </c>
      <c r="D60">
        <v>776.94162470762899</v>
      </c>
      <c r="E60">
        <v>4.0241224014237504</v>
      </c>
    </row>
    <row r="61" spans="1:5" x14ac:dyDescent="0.45">
      <c r="A61" t="s">
        <v>32</v>
      </c>
      <c r="B61" t="s">
        <v>34</v>
      </c>
      <c r="C61" t="s">
        <v>24</v>
      </c>
      <c r="D61">
        <v>1237.11980864923</v>
      </c>
      <c r="E61">
        <v>2.76710778529959</v>
      </c>
    </row>
    <row r="62" spans="1:5" x14ac:dyDescent="0.45">
      <c r="A62" t="s">
        <v>32</v>
      </c>
      <c r="B62" t="s">
        <v>35</v>
      </c>
      <c r="C62" t="s">
        <v>24</v>
      </c>
      <c r="D62">
        <v>796.28328300938699</v>
      </c>
      <c r="E62">
        <v>6.5452253986369398</v>
      </c>
    </row>
    <row r="63" spans="1:5" x14ac:dyDescent="0.45">
      <c r="A63" t="s">
        <v>32</v>
      </c>
      <c r="B63" t="s">
        <v>36</v>
      </c>
      <c r="C63" t="s">
        <v>24</v>
      </c>
      <c r="D63">
        <v>1052.38985787296</v>
      </c>
      <c r="E63">
        <v>2.8294381460074298</v>
      </c>
    </row>
    <row r="65" spans="1:8" x14ac:dyDescent="0.45">
      <c r="A65" t="s">
        <v>37</v>
      </c>
    </row>
    <row r="67" spans="1:8" x14ac:dyDescent="0.45">
      <c r="A67" t="s">
        <v>1</v>
      </c>
      <c r="B67" t="s">
        <v>2</v>
      </c>
      <c r="C67" t="s">
        <v>4</v>
      </c>
      <c r="D67" t="s">
        <v>26</v>
      </c>
      <c r="E67" t="s">
        <v>27</v>
      </c>
      <c r="F67" t="s">
        <v>28</v>
      </c>
      <c r="G67" t="s">
        <v>29</v>
      </c>
      <c r="H67" t="s">
        <v>30</v>
      </c>
    </row>
    <row r="68" spans="1:8" x14ac:dyDescent="0.45">
      <c r="A68" t="s">
        <v>32</v>
      </c>
      <c r="B68" t="s">
        <v>35</v>
      </c>
      <c r="C68">
        <v>29364.218912389999</v>
      </c>
      <c r="D68">
        <v>2228</v>
      </c>
      <c r="E68">
        <v>7.5874655704188196</v>
      </c>
      <c r="F68">
        <v>7.0485897619491702</v>
      </c>
      <c r="G68">
        <v>7.0409249600049399</v>
      </c>
      <c r="H68">
        <v>7.0562545638933898</v>
      </c>
    </row>
    <row r="69" spans="1:8" x14ac:dyDescent="0.45">
      <c r="A69" t="s">
        <v>32</v>
      </c>
      <c r="B69" t="s">
        <v>33</v>
      </c>
      <c r="C69">
        <v>75316.404905142103</v>
      </c>
      <c r="D69">
        <v>3609</v>
      </c>
      <c r="E69">
        <v>4.7917847440347003</v>
      </c>
      <c r="F69">
        <v>4.6031654321998099</v>
      </c>
      <c r="G69">
        <v>4.6003817879733004</v>
      </c>
      <c r="H69">
        <v>4.60594907642633</v>
      </c>
    </row>
    <row r="70" spans="1:8" x14ac:dyDescent="0.45">
      <c r="A70" t="s">
        <v>32</v>
      </c>
      <c r="B70" t="s">
        <v>34</v>
      </c>
      <c r="C70">
        <v>112183.35543626</v>
      </c>
      <c r="D70">
        <v>3583</v>
      </c>
      <c r="E70">
        <v>3.1938784377293699</v>
      </c>
      <c r="F70">
        <v>3.0669218265895299</v>
      </c>
      <c r="G70">
        <v>3.0653702212200802</v>
      </c>
      <c r="H70">
        <v>3.0684734319589801</v>
      </c>
    </row>
    <row r="71" spans="1:8" x14ac:dyDescent="0.45">
      <c r="A71" t="s">
        <v>32</v>
      </c>
      <c r="B71" t="s">
        <v>36</v>
      </c>
      <c r="C71">
        <v>100723.500412947</v>
      </c>
      <c r="D71">
        <v>3430</v>
      </c>
      <c r="E71">
        <v>3.4053621904894702</v>
      </c>
      <c r="F71">
        <v>3.26833962720861</v>
      </c>
      <c r="G71">
        <v>3.2666321018045301</v>
      </c>
      <c r="H71">
        <v>3.2700471526126802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1"/>
  <sheetViews>
    <sheetView workbookViewId="0"/>
  </sheetViews>
  <sheetFormatPr baseColWidth="10" defaultRowHeight="14.25" x14ac:dyDescent="0.45"/>
  <sheetData>
    <row r="1" spans="1:5" x14ac:dyDescent="0.45">
      <c r="A1" t="s">
        <v>38</v>
      </c>
    </row>
    <row r="3" spans="1:5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45">
      <c r="A4" t="s">
        <v>39</v>
      </c>
      <c r="B4" t="s">
        <v>40</v>
      </c>
      <c r="C4" t="s">
        <v>8</v>
      </c>
      <c r="D4">
        <v>1302.63427485233</v>
      </c>
      <c r="E4">
        <v>3.3792971478690998</v>
      </c>
    </row>
    <row r="5" spans="1:5" x14ac:dyDescent="0.45">
      <c r="A5" t="s">
        <v>39</v>
      </c>
      <c r="B5" t="s">
        <v>41</v>
      </c>
      <c r="C5" t="s">
        <v>8</v>
      </c>
      <c r="D5">
        <v>1021.09880705491</v>
      </c>
      <c r="E5">
        <v>2.2364971840095902</v>
      </c>
    </row>
    <row r="6" spans="1:5" x14ac:dyDescent="0.45">
      <c r="A6" t="s">
        <v>39</v>
      </c>
      <c r="B6" t="s">
        <v>42</v>
      </c>
      <c r="C6" t="s">
        <v>8</v>
      </c>
      <c r="D6">
        <v>791.59250584918095</v>
      </c>
      <c r="E6">
        <v>4.6717168312855897</v>
      </c>
    </row>
    <row r="7" spans="1:5" x14ac:dyDescent="0.45">
      <c r="A7" t="s">
        <v>39</v>
      </c>
      <c r="B7" t="s">
        <v>43</v>
      </c>
      <c r="C7" t="s">
        <v>8</v>
      </c>
      <c r="D7">
        <v>2013.6179842714</v>
      </c>
      <c r="E7">
        <v>3.4990494683309499</v>
      </c>
    </row>
    <row r="8" spans="1:5" x14ac:dyDescent="0.45">
      <c r="A8" t="s">
        <v>39</v>
      </c>
      <c r="B8" t="s">
        <v>40</v>
      </c>
      <c r="C8" t="s">
        <v>11</v>
      </c>
      <c r="D8">
        <v>2624.7817456999501</v>
      </c>
      <c r="E8">
        <v>3.23584842446816</v>
      </c>
    </row>
    <row r="9" spans="1:5" x14ac:dyDescent="0.45">
      <c r="A9" t="s">
        <v>39</v>
      </c>
      <c r="B9" t="s">
        <v>41</v>
      </c>
      <c r="C9" t="s">
        <v>11</v>
      </c>
      <c r="D9">
        <v>2120.2294174557301</v>
      </c>
      <c r="E9">
        <v>2.2675213501656799</v>
      </c>
    </row>
    <row r="10" spans="1:5" x14ac:dyDescent="0.45">
      <c r="A10" t="s">
        <v>39</v>
      </c>
      <c r="B10" t="s">
        <v>42</v>
      </c>
      <c r="C10" t="s">
        <v>11</v>
      </c>
      <c r="D10">
        <v>1572.5147915037101</v>
      </c>
      <c r="E10">
        <v>4.4685491622203699</v>
      </c>
    </row>
    <row r="11" spans="1:5" x14ac:dyDescent="0.45">
      <c r="A11" t="s">
        <v>39</v>
      </c>
      <c r="B11" t="s">
        <v>43</v>
      </c>
      <c r="C11" t="s">
        <v>11</v>
      </c>
      <c r="D11">
        <v>4188.15614139641</v>
      </c>
      <c r="E11">
        <v>3.5288496462157499</v>
      </c>
    </row>
    <row r="12" spans="1:5" x14ac:dyDescent="0.45">
      <c r="A12" t="s">
        <v>39</v>
      </c>
      <c r="B12" t="s">
        <v>40</v>
      </c>
      <c r="C12" t="s">
        <v>12</v>
      </c>
      <c r="D12">
        <v>4081.5380585668199</v>
      </c>
      <c r="E12">
        <v>3.3082592606870498</v>
      </c>
    </row>
    <row r="13" spans="1:5" x14ac:dyDescent="0.45">
      <c r="A13" t="s">
        <v>39</v>
      </c>
      <c r="B13" t="s">
        <v>41</v>
      </c>
      <c r="C13" t="s">
        <v>12</v>
      </c>
      <c r="D13">
        <v>3202.4199134914002</v>
      </c>
      <c r="E13">
        <v>2.22584040293733</v>
      </c>
    </row>
    <row r="14" spans="1:5" x14ac:dyDescent="0.45">
      <c r="A14" t="s">
        <v>39</v>
      </c>
      <c r="B14" t="s">
        <v>42</v>
      </c>
      <c r="C14" t="s">
        <v>12</v>
      </c>
      <c r="D14">
        <v>2437.1358329831201</v>
      </c>
      <c r="E14">
        <v>4.50215935540204</v>
      </c>
    </row>
    <row r="15" spans="1:5" x14ac:dyDescent="0.45">
      <c r="A15" t="s">
        <v>39</v>
      </c>
      <c r="B15" t="s">
        <v>43</v>
      </c>
      <c r="C15" t="s">
        <v>12</v>
      </c>
      <c r="D15">
        <v>6367.3440937941104</v>
      </c>
      <c r="E15">
        <v>3.4213050753910799</v>
      </c>
    </row>
    <row r="16" spans="1:5" x14ac:dyDescent="0.45">
      <c r="A16" t="s">
        <v>39</v>
      </c>
      <c r="B16" t="s">
        <v>40</v>
      </c>
      <c r="C16" t="s">
        <v>13</v>
      </c>
      <c r="D16">
        <v>5421.9229665391704</v>
      </c>
      <c r="E16">
        <v>3.25306598746179</v>
      </c>
    </row>
    <row r="17" spans="1:5" x14ac:dyDescent="0.45">
      <c r="A17" t="s">
        <v>39</v>
      </c>
      <c r="B17" t="s">
        <v>41</v>
      </c>
      <c r="C17" t="s">
        <v>13</v>
      </c>
      <c r="D17">
        <v>4353.9951947405898</v>
      </c>
      <c r="E17">
        <v>2.2156807036610799</v>
      </c>
    </row>
    <row r="18" spans="1:5" x14ac:dyDescent="0.45">
      <c r="A18" t="s">
        <v>39</v>
      </c>
      <c r="B18" t="s">
        <v>42</v>
      </c>
      <c r="C18" t="s">
        <v>13</v>
      </c>
      <c r="D18">
        <v>3295.8156076351902</v>
      </c>
      <c r="E18">
        <v>4.4105764269489898</v>
      </c>
    </row>
    <row r="19" spans="1:5" x14ac:dyDescent="0.45">
      <c r="A19" t="s">
        <v>39</v>
      </c>
      <c r="B19" t="s">
        <v>43</v>
      </c>
      <c r="C19" t="s">
        <v>13</v>
      </c>
      <c r="D19">
        <v>8735.4515602352694</v>
      </c>
      <c r="E19">
        <v>3.4473165667282601</v>
      </c>
    </row>
    <row r="20" spans="1:5" x14ac:dyDescent="0.45">
      <c r="A20" t="s">
        <v>39</v>
      </c>
      <c r="B20" t="s">
        <v>40</v>
      </c>
      <c r="C20" t="s">
        <v>14</v>
      </c>
      <c r="D20">
        <v>6805.7030009688997</v>
      </c>
      <c r="E20">
        <v>3.40794662586914</v>
      </c>
    </row>
    <row r="21" spans="1:5" x14ac:dyDescent="0.45">
      <c r="A21" t="s">
        <v>39</v>
      </c>
      <c r="B21" t="s">
        <v>41</v>
      </c>
      <c r="C21" t="s">
        <v>14</v>
      </c>
      <c r="D21">
        <v>5266.7741772795398</v>
      </c>
      <c r="E21">
        <v>2.3076386164139402</v>
      </c>
    </row>
    <row r="22" spans="1:5" x14ac:dyDescent="0.45">
      <c r="A22" t="s">
        <v>39</v>
      </c>
      <c r="B22" t="s">
        <v>42</v>
      </c>
      <c r="C22" t="s">
        <v>14</v>
      </c>
      <c r="D22">
        <v>4164.6508282999903</v>
      </c>
      <c r="E22">
        <v>4.7230515790067402</v>
      </c>
    </row>
    <row r="23" spans="1:5" x14ac:dyDescent="0.45">
      <c r="A23" t="s">
        <v>39</v>
      </c>
      <c r="B23" t="s">
        <v>43</v>
      </c>
      <c r="C23" t="s">
        <v>14</v>
      </c>
      <c r="D23">
        <v>11053.8451603706</v>
      </c>
      <c r="E23">
        <v>3.6396908029044499</v>
      </c>
    </row>
    <row r="24" spans="1:5" x14ac:dyDescent="0.45">
      <c r="A24" t="s">
        <v>39</v>
      </c>
      <c r="B24" t="s">
        <v>40</v>
      </c>
      <c r="C24" t="s">
        <v>15</v>
      </c>
      <c r="D24">
        <v>7226.5297244303802</v>
      </c>
      <c r="E24">
        <v>3.4852043198534401</v>
      </c>
    </row>
    <row r="25" spans="1:5" x14ac:dyDescent="0.45">
      <c r="A25" t="s">
        <v>39</v>
      </c>
      <c r="B25" t="s">
        <v>41</v>
      </c>
      <c r="C25" t="s">
        <v>15</v>
      </c>
      <c r="D25">
        <v>5669.25241227071</v>
      </c>
      <c r="E25">
        <v>2.38069315307134</v>
      </c>
    </row>
    <row r="26" spans="1:5" x14ac:dyDescent="0.45">
      <c r="A26" t="s">
        <v>39</v>
      </c>
      <c r="B26" t="s">
        <v>42</v>
      </c>
      <c r="C26" t="s">
        <v>15</v>
      </c>
      <c r="D26">
        <v>4176.5161141504996</v>
      </c>
      <c r="E26">
        <v>4.6992752506074398</v>
      </c>
    </row>
    <row r="27" spans="1:5" x14ac:dyDescent="0.45">
      <c r="A27" t="s">
        <v>39</v>
      </c>
      <c r="B27" t="s">
        <v>43</v>
      </c>
      <c r="C27" t="s">
        <v>15</v>
      </c>
      <c r="D27">
        <v>11209.227937747901</v>
      </c>
      <c r="E27">
        <v>3.6942646656774998</v>
      </c>
    </row>
    <row r="28" spans="1:5" x14ac:dyDescent="0.45">
      <c r="A28" t="s">
        <v>39</v>
      </c>
      <c r="B28" t="s">
        <v>40</v>
      </c>
      <c r="C28" t="s">
        <v>16</v>
      </c>
      <c r="D28">
        <v>7380.7432294406999</v>
      </c>
      <c r="E28">
        <v>3.5157310905196302</v>
      </c>
    </row>
    <row r="29" spans="1:5" x14ac:dyDescent="0.45">
      <c r="A29" t="s">
        <v>39</v>
      </c>
      <c r="B29" t="s">
        <v>41</v>
      </c>
      <c r="C29" t="s">
        <v>16</v>
      </c>
      <c r="D29">
        <v>5911.9365017207501</v>
      </c>
      <c r="E29">
        <v>2.3979710463256501</v>
      </c>
    </row>
    <row r="30" spans="1:5" x14ac:dyDescent="0.45">
      <c r="A30" t="s">
        <v>39</v>
      </c>
      <c r="B30" t="s">
        <v>42</v>
      </c>
      <c r="C30" t="s">
        <v>16</v>
      </c>
      <c r="D30">
        <v>4499.1006110504404</v>
      </c>
      <c r="E30">
        <v>4.6797084524017896</v>
      </c>
    </row>
    <row r="31" spans="1:5" x14ac:dyDescent="0.45">
      <c r="A31" t="s">
        <v>39</v>
      </c>
      <c r="B31" t="s">
        <v>43</v>
      </c>
      <c r="C31" t="s">
        <v>16</v>
      </c>
      <c r="D31">
        <v>11800.453728341099</v>
      </c>
      <c r="E31">
        <v>3.7507825136526298</v>
      </c>
    </row>
    <row r="32" spans="1:5" x14ac:dyDescent="0.45">
      <c r="A32" t="s">
        <v>39</v>
      </c>
      <c r="B32" t="s">
        <v>40</v>
      </c>
      <c r="C32" t="s">
        <v>17</v>
      </c>
      <c r="D32">
        <v>8087.2656355059498</v>
      </c>
      <c r="E32">
        <v>3.5426121873971201</v>
      </c>
    </row>
    <row r="33" spans="1:5" x14ac:dyDescent="0.45">
      <c r="A33" t="s">
        <v>39</v>
      </c>
      <c r="B33" t="s">
        <v>41</v>
      </c>
      <c r="C33" t="s">
        <v>17</v>
      </c>
      <c r="D33">
        <v>6362.0485786798899</v>
      </c>
      <c r="E33">
        <v>2.3905625267916202</v>
      </c>
    </row>
    <row r="34" spans="1:5" x14ac:dyDescent="0.45">
      <c r="A34" t="s">
        <v>39</v>
      </c>
      <c r="B34" t="s">
        <v>42</v>
      </c>
      <c r="C34" t="s">
        <v>17</v>
      </c>
      <c r="D34">
        <v>4693.4079022160504</v>
      </c>
      <c r="E34">
        <v>4.8364087575033299</v>
      </c>
    </row>
    <row r="35" spans="1:5" x14ac:dyDescent="0.45">
      <c r="A35" t="s">
        <v>39</v>
      </c>
      <c r="B35" t="s">
        <v>43</v>
      </c>
      <c r="C35" t="s">
        <v>17</v>
      </c>
      <c r="D35">
        <v>12511.944898302099</v>
      </c>
      <c r="E35">
        <v>3.7296752056227902</v>
      </c>
    </row>
    <row r="36" spans="1:5" x14ac:dyDescent="0.45">
      <c r="A36" t="s">
        <v>39</v>
      </c>
      <c r="B36" t="s">
        <v>40</v>
      </c>
      <c r="C36" t="s">
        <v>18</v>
      </c>
      <c r="D36">
        <v>7807.0767317420004</v>
      </c>
      <c r="E36">
        <v>4.1357187639038804</v>
      </c>
    </row>
    <row r="37" spans="1:5" x14ac:dyDescent="0.45">
      <c r="A37" t="s">
        <v>39</v>
      </c>
      <c r="B37" t="s">
        <v>41</v>
      </c>
      <c r="C37" t="s">
        <v>18</v>
      </c>
      <c r="D37">
        <v>6439.10828565049</v>
      </c>
      <c r="E37">
        <v>2.82423403753205</v>
      </c>
    </row>
    <row r="38" spans="1:5" x14ac:dyDescent="0.45">
      <c r="A38" t="s">
        <v>39</v>
      </c>
      <c r="B38" t="s">
        <v>42</v>
      </c>
      <c r="C38" t="s">
        <v>18</v>
      </c>
      <c r="D38">
        <v>4873.9172847165901</v>
      </c>
      <c r="E38">
        <v>5.5688216035087699</v>
      </c>
    </row>
    <row r="39" spans="1:5" x14ac:dyDescent="0.45">
      <c r="A39" t="s">
        <v>39</v>
      </c>
      <c r="B39" t="s">
        <v>43</v>
      </c>
      <c r="C39" t="s">
        <v>18</v>
      </c>
      <c r="D39">
        <v>12659.1201312415</v>
      </c>
      <c r="E39">
        <v>4.3744327508513203</v>
      </c>
    </row>
    <row r="40" spans="1:5" x14ac:dyDescent="0.45">
      <c r="A40" t="s">
        <v>39</v>
      </c>
      <c r="B40" t="s">
        <v>40</v>
      </c>
      <c r="C40" t="s">
        <v>19</v>
      </c>
      <c r="D40">
        <v>7938.7465539470904</v>
      </c>
      <c r="E40">
        <v>4.27190322176798</v>
      </c>
    </row>
    <row r="41" spans="1:5" x14ac:dyDescent="0.45">
      <c r="A41" t="s">
        <v>39</v>
      </c>
      <c r="B41" t="s">
        <v>41</v>
      </c>
      <c r="C41" t="s">
        <v>19</v>
      </c>
      <c r="D41">
        <v>6251.8649670156001</v>
      </c>
      <c r="E41">
        <v>2.82593294474044</v>
      </c>
    </row>
    <row r="42" spans="1:5" x14ac:dyDescent="0.45">
      <c r="A42" t="s">
        <v>39</v>
      </c>
      <c r="B42" t="s">
        <v>42</v>
      </c>
      <c r="C42" t="s">
        <v>19</v>
      </c>
      <c r="D42">
        <v>4622.2732837757203</v>
      </c>
      <c r="E42">
        <v>5.7002599954323703</v>
      </c>
    </row>
    <row r="43" spans="1:5" x14ac:dyDescent="0.45">
      <c r="A43" t="s">
        <v>39</v>
      </c>
      <c r="B43" t="s">
        <v>43</v>
      </c>
      <c r="C43" t="s">
        <v>19</v>
      </c>
      <c r="D43">
        <v>12394.2194674531</v>
      </c>
      <c r="E43">
        <v>4.4389190089433601</v>
      </c>
    </row>
    <row r="44" spans="1:5" x14ac:dyDescent="0.45">
      <c r="A44" t="s">
        <v>39</v>
      </c>
      <c r="B44" t="s">
        <v>40</v>
      </c>
      <c r="C44" t="s">
        <v>20</v>
      </c>
      <c r="D44">
        <v>7397.0813318023002</v>
      </c>
      <c r="E44">
        <v>4.09810775756163</v>
      </c>
    </row>
    <row r="45" spans="1:5" x14ac:dyDescent="0.45">
      <c r="A45" t="s">
        <v>39</v>
      </c>
      <c r="B45" t="s">
        <v>41</v>
      </c>
      <c r="C45" t="s">
        <v>20</v>
      </c>
      <c r="D45">
        <v>5655.7259452747503</v>
      </c>
      <c r="E45">
        <v>2.7954009462831002</v>
      </c>
    </row>
    <row r="46" spans="1:5" x14ac:dyDescent="0.45">
      <c r="A46" t="s">
        <v>39</v>
      </c>
      <c r="B46" t="s">
        <v>42</v>
      </c>
      <c r="C46" t="s">
        <v>20</v>
      </c>
      <c r="D46">
        <v>4467.0628430455099</v>
      </c>
      <c r="E46">
        <v>5.4316020602107704</v>
      </c>
    </row>
    <row r="47" spans="1:5" x14ac:dyDescent="0.45">
      <c r="A47" t="s">
        <v>39</v>
      </c>
      <c r="B47" t="s">
        <v>43</v>
      </c>
      <c r="C47" t="s">
        <v>20</v>
      </c>
      <c r="D47">
        <v>11750.808776428399</v>
      </c>
      <c r="E47">
        <v>4.3031908279450803</v>
      </c>
    </row>
    <row r="48" spans="1:5" x14ac:dyDescent="0.45">
      <c r="A48" t="s">
        <v>39</v>
      </c>
      <c r="B48" t="s">
        <v>40</v>
      </c>
      <c r="C48" t="s">
        <v>21</v>
      </c>
      <c r="D48">
        <v>5835.50804456269</v>
      </c>
      <c r="E48">
        <v>4.0334595883777897</v>
      </c>
    </row>
    <row r="49" spans="1:5" x14ac:dyDescent="0.45">
      <c r="A49" t="s">
        <v>39</v>
      </c>
      <c r="B49" t="s">
        <v>41</v>
      </c>
      <c r="C49" t="s">
        <v>21</v>
      </c>
      <c r="D49">
        <v>4759.4628757882301</v>
      </c>
      <c r="E49">
        <v>2.7540273229738799</v>
      </c>
    </row>
    <row r="50" spans="1:5" x14ac:dyDescent="0.45">
      <c r="A50" t="s">
        <v>39</v>
      </c>
      <c r="B50" t="s">
        <v>42</v>
      </c>
      <c r="C50" t="s">
        <v>21</v>
      </c>
      <c r="D50">
        <v>3565.6949997222</v>
      </c>
      <c r="E50">
        <v>5.4920088936735398</v>
      </c>
    </row>
    <row r="51" spans="1:5" x14ac:dyDescent="0.45">
      <c r="A51" t="s">
        <v>39</v>
      </c>
      <c r="B51" t="s">
        <v>43</v>
      </c>
      <c r="C51" t="s">
        <v>21</v>
      </c>
      <c r="D51">
        <v>9341.6258483695001</v>
      </c>
      <c r="E51">
        <v>4.2656644339862799</v>
      </c>
    </row>
    <row r="52" spans="1:5" x14ac:dyDescent="0.45">
      <c r="A52" t="s">
        <v>39</v>
      </c>
      <c r="B52" t="s">
        <v>40</v>
      </c>
      <c r="C52" t="s">
        <v>22</v>
      </c>
      <c r="D52">
        <v>4274.3221264179501</v>
      </c>
      <c r="E52">
        <v>5.0497585570726198</v>
      </c>
    </row>
    <row r="53" spans="1:5" x14ac:dyDescent="0.45">
      <c r="A53" t="s">
        <v>39</v>
      </c>
      <c r="B53" t="s">
        <v>41</v>
      </c>
      <c r="C53" t="s">
        <v>22</v>
      </c>
      <c r="D53">
        <v>3326.2940158155202</v>
      </c>
      <c r="E53">
        <v>3.4075399476036998</v>
      </c>
    </row>
    <row r="54" spans="1:5" x14ac:dyDescent="0.45">
      <c r="A54" t="s">
        <v>39</v>
      </c>
      <c r="B54" t="s">
        <v>42</v>
      </c>
      <c r="C54" t="s">
        <v>22</v>
      </c>
      <c r="D54">
        <v>2500.4923766040802</v>
      </c>
      <c r="E54">
        <v>6.7697179583802098</v>
      </c>
    </row>
    <row r="55" spans="1:5" x14ac:dyDescent="0.45">
      <c r="A55" t="s">
        <v>39</v>
      </c>
      <c r="B55" t="s">
        <v>43</v>
      </c>
      <c r="C55" t="s">
        <v>22</v>
      </c>
      <c r="D55">
        <v>6878.4003306549803</v>
      </c>
      <c r="E55">
        <v>5.3261296490629402</v>
      </c>
    </row>
    <row r="56" spans="1:5" x14ac:dyDescent="0.45">
      <c r="A56" t="s">
        <v>39</v>
      </c>
      <c r="B56" t="s">
        <v>40</v>
      </c>
      <c r="C56" t="s">
        <v>23</v>
      </c>
      <c r="D56">
        <v>2628.0516219516298</v>
      </c>
      <c r="E56">
        <v>4.6371984202913303</v>
      </c>
    </row>
    <row r="57" spans="1:5" x14ac:dyDescent="0.45">
      <c r="A57" t="s">
        <v>39</v>
      </c>
      <c r="B57" t="s">
        <v>41</v>
      </c>
      <c r="C57" t="s">
        <v>23</v>
      </c>
      <c r="D57">
        <v>2145.9113584974498</v>
      </c>
      <c r="E57">
        <v>3.1952438810512001</v>
      </c>
    </row>
    <row r="58" spans="1:5" x14ac:dyDescent="0.45">
      <c r="A58" t="s">
        <v>39</v>
      </c>
      <c r="B58" t="s">
        <v>42</v>
      </c>
      <c r="C58" t="s">
        <v>23</v>
      </c>
      <c r="D58">
        <v>1589.5052813085999</v>
      </c>
      <c r="E58">
        <v>6.39886861187754</v>
      </c>
    </row>
    <row r="59" spans="1:5" x14ac:dyDescent="0.45">
      <c r="A59" t="s">
        <v>39</v>
      </c>
      <c r="B59" t="s">
        <v>43</v>
      </c>
      <c r="C59" t="s">
        <v>23</v>
      </c>
      <c r="D59">
        <v>4272.82127386913</v>
      </c>
      <c r="E59">
        <v>5.1559497369199496</v>
      </c>
    </row>
    <row r="60" spans="1:5" x14ac:dyDescent="0.45">
      <c r="A60" t="s">
        <v>39</v>
      </c>
      <c r="B60" t="s">
        <v>40</v>
      </c>
      <c r="C60" t="s">
        <v>24</v>
      </c>
      <c r="D60">
        <v>968.31414299012602</v>
      </c>
      <c r="E60">
        <v>3.7140603100192</v>
      </c>
    </row>
    <row r="61" spans="1:5" x14ac:dyDescent="0.45">
      <c r="A61" t="s">
        <v>39</v>
      </c>
      <c r="B61" t="s">
        <v>41</v>
      </c>
      <c r="C61" t="s">
        <v>24</v>
      </c>
      <c r="D61">
        <v>771.06287343383099</v>
      </c>
      <c r="E61">
        <v>2.5896082140855698</v>
      </c>
    </row>
    <row r="62" spans="1:5" x14ac:dyDescent="0.45">
      <c r="A62" t="s">
        <v>39</v>
      </c>
      <c r="B62" t="s">
        <v>42</v>
      </c>
      <c r="C62" t="s">
        <v>24</v>
      </c>
      <c r="D62">
        <v>579.87205532977805</v>
      </c>
      <c r="E62">
        <v>4.9437737721805597</v>
      </c>
    </row>
    <row r="63" spans="1:5" x14ac:dyDescent="0.45">
      <c r="A63" t="s">
        <v>39</v>
      </c>
      <c r="B63" t="s">
        <v>43</v>
      </c>
      <c r="C63" t="s">
        <v>24</v>
      </c>
      <c r="D63">
        <v>1543.4855024854701</v>
      </c>
      <c r="E63">
        <v>4.0683203580754403</v>
      </c>
    </row>
    <row r="65" spans="1:8" x14ac:dyDescent="0.45">
      <c r="A65" t="s">
        <v>44</v>
      </c>
    </row>
    <row r="67" spans="1:8" x14ac:dyDescent="0.45">
      <c r="A67" t="s">
        <v>1</v>
      </c>
      <c r="B67" t="s">
        <v>2</v>
      </c>
      <c r="C67" t="s">
        <v>4</v>
      </c>
      <c r="D67" t="s">
        <v>26</v>
      </c>
      <c r="E67" t="s">
        <v>27</v>
      </c>
      <c r="F67" t="s">
        <v>28</v>
      </c>
      <c r="G67" t="s">
        <v>29</v>
      </c>
      <c r="H67" t="s">
        <v>30</v>
      </c>
    </row>
    <row r="68" spans="1:8" x14ac:dyDescent="0.45">
      <c r="A68" t="s">
        <v>39</v>
      </c>
      <c r="B68" t="s">
        <v>42</v>
      </c>
      <c r="C68">
        <v>47829.552318190697</v>
      </c>
      <c r="D68">
        <v>2582</v>
      </c>
      <c r="E68">
        <v>5.3983361224520703</v>
      </c>
      <c r="F68">
        <v>5.1555081236960199</v>
      </c>
      <c r="G68">
        <v>5.1512147851232504</v>
      </c>
      <c r="H68">
        <v>5.1598014622687796</v>
      </c>
    </row>
    <row r="69" spans="1:8" x14ac:dyDescent="0.45">
      <c r="A69" t="s">
        <v>39</v>
      </c>
      <c r="B69" t="s">
        <v>43</v>
      </c>
      <c r="C69">
        <v>126720.522834961</v>
      </c>
      <c r="D69">
        <v>5366</v>
      </c>
      <c r="E69">
        <v>4.2345153570654102</v>
      </c>
      <c r="F69">
        <v>4.0407439987212896</v>
      </c>
      <c r="G69">
        <v>4.0387348160076204</v>
      </c>
      <c r="H69">
        <v>4.0427531814349704</v>
      </c>
    </row>
    <row r="70" spans="1:8" x14ac:dyDescent="0.45">
      <c r="A70" t="s">
        <v>39</v>
      </c>
      <c r="B70" t="s">
        <v>40</v>
      </c>
      <c r="C70">
        <v>79780.219189418</v>
      </c>
      <c r="D70">
        <v>3187</v>
      </c>
      <c r="E70">
        <v>3.9947245474887398</v>
      </c>
      <c r="F70">
        <v>3.8159136140716501</v>
      </c>
      <c r="G70">
        <v>3.81360187610903</v>
      </c>
      <c r="H70">
        <v>3.8182253520342702</v>
      </c>
    </row>
    <row r="71" spans="1:8" x14ac:dyDescent="0.45">
      <c r="A71" t="s">
        <v>39</v>
      </c>
      <c r="B71" t="s">
        <v>41</v>
      </c>
      <c r="C71">
        <v>63257.185324169397</v>
      </c>
      <c r="D71">
        <v>1715</v>
      </c>
      <c r="E71">
        <v>2.7111544581240299</v>
      </c>
      <c r="F71">
        <v>2.59039554828622</v>
      </c>
      <c r="G71">
        <v>2.5885598803543899</v>
      </c>
      <c r="H71">
        <v>2.5922312162180501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9"/>
  <sheetViews>
    <sheetView workbookViewId="0"/>
  </sheetViews>
  <sheetFormatPr baseColWidth="10" defaultRowHeight="14.25" x14ac:dyDescent="0.45"/>
  <sheetData>
    <row r="1" spans="1:5" x14ac:dyDescent="0.45">
      <c r="A1" t="s">
        <v>45</v>
      </c>
    </row>
    <row r="3" spans="1:5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45">
      <c r="A4" t="s">
        <v>46</v>
      </c>
      <c r="B4" t="s">
        <v>47</v>
      </c>
      <c r="C4" t="s">
        <v>8</v>
      </c>
      <c r="D4">
        <v>832.80729035962099</v>
      </c>
      <c r="E4">
        <v>2.6710960503560801</v>
      </c>
    </row>
    <row r="5" spans="1:5" x14ac:dyDescent="0.45">
      <c r="A5" t="s">
        <v>46</v>
      </c>
      <c r="B5" t="s">
        <v>48</v>
      </c>
      <c r="C5" t="s">
        <v>8</v>
      </c>
      <c r="D5">
        <v>13</v>
      </c>
      <c r="E5">
        <v>3.6066140601763901</v>
      </c>
    </row>
    <row r="6" spans="1:5" x14ac:dyDescent="0.45">
      <c r="A6" t="s">
        <v>46</v>
      </c>
      <c r="B6" t="s">
        <v>49</v>
      </c>
      <c r="C6" t="s">
        <v>8</v>
      </c>
      <c r="D6">
        <v>8.6591776112932699</v>
      </c>
      <c r="E6">
        <v>1.5216938097228201</v>
      </c>
    </row>
    <row r="7" spans="1:5" x14ac:dyDescent="0.45">
      <c r="A7" t="s">
        <v>46</v>
      </c>
      <c r="B7" t="s">
        <v>50</v>
      </c>
      <c r="C7" t="s">
        <v>8</v>
      </c>
      <c r="D7">
        <v>869.87642730456503</v>
      </c>
      <c r="E7">
        <v>3.1027323336813999</v>
      </c>
    </row>
    <row r="8" spans="1:5" x14ac:dyDescent="0.45">
      <c r="A8" t="s">
        <v>46</v>
      </c>
      <c r="B8" t="s">
        <v>51</v>
      </c>
      <c r="C8" t="s">
        <v>8</v>
      </c>
      <c r="D8">
        <v>874.44378802404697</v>
      </c>
      <c r="E8">
        <v>3.5828722899540102</v>
      </c>
    </row>
    <row r="9" spans="1:5" x14ac:dyDescent="0.45">
      <c r="A9" t="s">
        <v>46</v>
      </c>
      <c r="B9" t="s">
        <v>52</v>
      </c>
      <c r="C9" t="s">
        <v>8</v>
      </c>
      <c r="D9">
        <v>805.70500693362703</v>
      </c>
      <c r="E9">
        <v>4.0416454261263901</v>
      </c>
    </row>
    <row r="10" spans="1:5" x14ac:dyDescent="0.45">
      <c r="A10" t="s">
        <v>46</v>
      </c>
      <c r="B10" t="s">
        <v>53</v>
      </c>
      <c r="C10" t="s">
        <v>8</v>
      </c>
      <c r="D10">
        <v>4</v>
      </c>
      <c r="E10">
        <v>3.58499471725154</v>
      </c>
    </row>
    <row r="11" spans="1:5" x14ac:dyDescent="0.45">
      <c r="A11" t="s">
        <v>46</v>
      </c>
      <c r="B11" t="s">
        <v>54</v>
      </c>
      <c r="C11" t="s">
        <v>8</v>
      </c>
      <c r="D11">
        <v>4.1221576163847899</v>
      </c>
      <c r="E11">
        <v>5.7103535644396803</v>
      </c>
    </row>
    <row r="12" spans="1:5" x14ac:dyDescent="0.45">
      <c r="A12" t="s">
        <v>46</v>
      </c>
      <c r="B12" t="s">
        <v>55</v>
      </c>
      <c r="C12" t="s">
        <v>8</v>
      </c>
      <c r="D12">
        <v>830.12254554725996</v>
      </c>
      <c r="E12">
        <v>4.2470419540105002</v>
      </c>
    </row>
    <row r="13" spans="1:5" x14ac:dyDescent="0.45">
      <c r="A13" t="s">
        <v>46</v>
      </c>
      <c r="B13" t="s">
        <v>56</v>
      </c>
      <c r="C13" t="s">
        <v>8</v>
      </c>
      <c r="D13">
        <v>867.73925355256097</v>
      </c>
      <c r="E13">
        <v>2.8161309692465899</v>
      </c>
    </row>
    <row r="14" spans="1:5" x14ac:dyDescent="0.45">
      <c r="A14" t="s">
        <v>46</v>
      </c>
      <c r="B14" t="s">
        <v>57</v>
      </c>
      <c r="C14" t="s">
        <v>8</v>
      </c>
      <c r="D14">
        <v>11.4679250784614</v>
      </c>
      <c r="E14">
        <v>2.2656718508259499</v>
      </c>
    </row>
    <row r="15" spans="1:5" x14ac:dyDescent="0.45">
      <c r="A15" t="s">
        <v>46</v>
      </c>
      <c r="B15" t="s">
        <v>58</v>
      </c>
      <c r="C15" t="s">
        <v>8</v>
      </c>
      <c r="D15">
        <v>7</v>
      </c>
      <c r="E15">
        <v>3.3521054155849699</v>
      </c>
    </row>
    <row r="16" spans="1:5" x14ac:dyDescent="0.45">
      <c r="A16" t="s">
        <v>46</v>
      </c>
      <c r="B16" t="s">
        <v>47</v>
      </c>
      <c r="C16" t="s">
        <v>11</v>
      </c>
      <c r="D16">
        <v>1704.19802979633</v>
      </c>
      <c r="E16">
        <v>2.59636700280676</v>
      </c>
    </row>
    <row r="17" spans="1:5" x14ac:dyDescent="0.45">
      <c r="A17" t="s">
        <v>46</v>
      </c>
      <c r="B17" t="s">
        <v>48</v>
      </c>
      <c r="C17" t="s">
        <v>11</v>
      </c>
      <c r="D17">
        <v>20</v>
      </c>
      <c r="E17">
        <v>4.7401703121196697</v>
      </c>
    </row>
    <row r="18" spans="1:5" x14ac:dyDescent="0.45">
      <c r="A18" t="s">
        <v>46</v>
      </c>
      <c r="B18" t="s">
        <v>49</v>
      </c>
      <c r="C18" t="s">
        <v>11</v>
      </c>
      <c r="D18">
        <v>18.265773808704701</v>
      </c>
      <c r="E18">
        <v>1.99922277005451</v>
      </c>
    </row>
    <row r="19" spans="1:5" x14ac:dyDescent="0.45">
      <c r="A19" t="s">
        <v>46</v>
      </c>
      <c r="B19" t="s">
        <v>50</v>
      </c>
      <c r="C19" t="s">
        <v>11</v>
      </c>
      <c r="D19">
        <v>1696.0954110677301</v>
      </c>
      <c r="E19">
        <v>3.0997792926422898</v>
      </c>
    </row>
    <row r="20" spans="1:5" x14ac:dyDescent="0.45">
      <c r="A20" t="s">
        <v>46</v>
      </c>
      <c r="B20" t="s">
        <v>51</v>
      </c>
      <c r="C20" t="s">
        <v>11</v>
      </c>
      <c r="D20">
        <v>1819.4706700921299</v>
      </c>
      <c r="E20">
        <v>3.7631431595571501</v>
      </c>
    </row>
    <row r="21" spans="1:5" x14ac:dyDescent="0.45">
      <c r="A21" t="s">
        <v>46</v>
      </c>
      <c r="B21" t="s">
        <v>52</v>
      </c>
      <c r="C21" t="s">
        <v>11</v>
      </c>
      <c r="D21">
        <v>1705.4311462752401</v>
      </c>
      <c r="E21">
        <v>3.82095127575302</v>
      </c>
    </row>
    <row r="22" spans="1:5" x14ac:dyDescent="0.45">
      <c r="A22" t="s">
        <v>46</v>
      </c>
      <c r="B22" t="s">
        <v>53</v>
      </c>
      <c r="C22" t="s">
        <v>11</v>
      </c>
      <c r="D22">
        <v>19.462564684422698</v>
      </c>
      <c r="E22">
        <v>3.2333931253662902</v>
      </c>
    </row>
    <row r="23" spans="1:5" x14ac:dyDescent="0.45">
      <c r="A23" t="s">
        <v>46</v>
      </c>
      <c r="B23" t="s">
        <v>54</v>
      </c>
      <c r="C23" t="s">
        <v>11</v>
      </c>
      <c r="D23">
        <v>12.647924944988899</v>
      </c>
      <c r="E23">
        <v>2.9585185260773801</v>
      </c>
    </row>
    <row r="24" spans="1:5" x14ac:dyDescent="0.45">
      <c r="A24" t="s">
        <v>46</v>
      </c>
      <c r="B24" t="s">
        <v>55</v>
      </c>
      <c r="C24" t="s">
        <v>11</v>
      </c>
      <c r="D24">
        <v>1729.84148712602</v>
      </c>
      <c r="E24">
        <v>4.0519384599562001</v>
      </c>
    </row>
    <row r="25" spans="1:5" x14ac:dyDescent="0.45">
      <c r="A25" t="s">
        <v>46</v>
      </c>
      <c r="B25" t="s">
        <v>56</v>
      </c>
      <c r="C25" t="s">
        <v>11</v>
      </c>
      <c r="D25">
        <v>1751.7757097855299</v>
      </c>
      <c r="E25">
        <v>2.6997050388569299</v>
      </c>
    </row>
    <row r="26" spans="1:5" x14ac:dyDescent="0.45">
      <c r="A26" t="s">
        <v>46</v>
      </c>
      <c r="B26" t="s">
        <v>57</v>
      </c>
      <c r="C26" t="s">
        <v>11</v>
      </c>
      <c r="D26">
        <v>15.839678138338501</v>
      </c>
      <c r="E26">
        <v>2.80260325030167</v>
      </c>
    </row>
    <row r="27" spans="1:5" x14ac:dyDescent="0.45">
      <c r="A27" t="s">
        <v>46</v>
      </c>
      <c r="B27" t="s">
        <v>58</v>
      </c>
      <c r="C27" t="s">
        <v>11</v>
      </c>
      <c r="D27">
        <v>12.653700336364601</v>
      </c>
      <c r="E27">
        <v>3.73014518962575</v>
      </c>
    </row>
    <row r="28" spans="1:5" x14ac:dyDescent="0.45">
      <c r="A28" t="s">
        <v>46</v>
      </c>
      <c r="B28" t="s">
        <v>47</v>
      </c>
      <c r="C28" t="s">
        <v>12</v>
      </c>
      <c r="D28">
        <v>2601.8809277002401</v>
      </c>
      <c r="E28">
        <v>2.6295905550685599</v>
      </c>
    </row>
    <row r="29" spans="1:5" x14ac:dyDescent="0.45">
      <c r="A29" t="s">
        <v>46</v>
      </c>
      <c r="B29" t="s">
        <v>48</v>
      </c>
      <c r="C29" t="s">
        <v>12</v>
      </c>
      <c r="D29">
        <v>27.0115142887249</v>
      </c>
      <c r="E29">
        <v>3.9676609412386901</v>
      </c>
    </row>
    <row r="30" spans="1:5" x14ac:dyDescent="0.45">
      <c r="A30" t="s">
        <v>46</v>
      </c>
      <c r="B30" t="s">
        <v>49</v>
      </c>
      <c r="C30" t="s">
        <v>12</v>
      </c>
      <c r="D30">
        <v>28.6309692447842</v>
      </c>
      <c r="E30">
        <v>1.67911723028383</v>
      </c>
    </row>
    <row r="31" spans="1:5" x14ac:dyDescent="0.45">
      <c r="A31" t="s">
        <v>46</v>
      </c>
      <c r="B31" t="s">
        <v>50</v>
      </c>
      <c r="C31" t="s">
        <v>12</v>
      </c>
      <c r="D31">
        <v>2675.8247388561599</v>
      </c>
      <c r="E31">
        <v>3.0431819965623599</v>
      </c>
    </row>
    <row r="32" spans="1:5" x14ac:dyDescent="0.45">
      <c r="A32" t="s">
        <v>46</v>
      </c>
      <c r="B32" t="s">
        <v>51</v>
      </c>
      <c r="C32" t="s">
        <v>12</v>
      </c>
      <c r="D32">
        <v>2700.0003350207598</v>
      </c>
      <c r="E32">
        <v>3.6673369045062501</v>
      </c>
    </row>
    <row r="33" spans="1:5" x14ac:dyDescent="0.45">
      <c r="A33" t="s">
        <v>46</v>
      </c>
      <c r="B33" t="s">
        <v>52</v>
      </c>
      <c r="C33" t="s">
        <v>12</v>
      </c>
      <c r="D33">
        <v>2688.5251936571799</v>
      </c>
      <c r="E33">
        <v>3.8205704555197699</v>
      </c>
    </row>
    <row r="34" spans="1:5" x14ac:dyDescent="0.45">
      <c r="A34" t="s">
        <v>46</v>
      </c>
      <c r="B34" t="s">
        <v>53</v>
      </c>
      <c r="C34" t="s">
        <v>12</v>
      </c>
      <c r="D34">
        <v>20.430594229304699</v>
      </c>
      <c r="E34">
        <v>3.4802068879911099</v>
      </c>
    </row>
    <row r="35" spans="1:5" x14ac:dyDescent="0.45">
      <c r="A35" t="s">
        <v>46</v>
      </c>
      <c r="B35" t="s">
        <v>54</v>
      </c>
      <c r="C35" t="s">
        <v>12</v>
      </c>
      <c r="D35">
        <v>29.491834541924799</v>
      </c>
      <c r="E35">
        <v>3.2305841584151902</v>
      </c>
    </row>
    <row r="36" spans="1:5" x14ac:dyDescent="0.45">
      <c r="A36" t="s">
        <v>46</v>
      </c>
      <c r="B36" t="s">
        <v>55</v>
      </c>
      <c r="C36" t="s">
        <v>12</v>
      </c>
      <c r="D36">
        <v>2595.93719098271</v>
      </c>
      <c r="E36">
        <v>4.0501923870823902</v>
      </c>
    </row>
    <row r="37" spans="1:5" x14ac:dyDescent="0.45">
      <c r="A37" t="s">
        <v>46</v>
      </c>
      <c r="B37" t="s">
        <v>56</v>
      </c>
      <c r="C37" t="s">
        <v>12</v>
      </c>
      <c r="D37">
        <v>2669.83561075531</v>
      </c>
      <c r="E37">
        <v>2.6961507500962498</v>
      </c>
    </row>
    <row r="38" spans="1:5" x14ac:dyDescent="0.45">
      <c r="A38" t="s">
        <v>46</v>
      </c>
      <c r="B38" t="s">
        <v>57</v>
      </c>
      <c r="C38" t="s">
        <v>12</v>
      </c>
      <c r="D38">
        <v>25.8614749677572</v>
      </c>
      <c r="E38">
        <v>3.1511084739549</v>
      </c>
    </row>
    <row r="39" spans="1:5" x14ac:dyDescent="0.45">
      <c r="A39" t="s">
        <v>46</v>
      </c>
      <c r="B39" t="s">
        <v>58</v>
      </c>
      <c r="C39" t="s">
        <v>12</v>
      </c>
      <c r="D39">
        <v>25.007514590602401</v>
      </c>
      <c r="E39">
        <v>4.5588620691048103</v>
      </c>
    </row>
    <row r="40" spans="1:5" x14ac:dyDescent="0.45">
      <c r="A40" t="s">
        <v>46</v>
      </c>
      <c r="B40" t="s">
        <v>47</v>
      </c>
      <c r="C40" t="s">
        <v>13</v>
      </c>
      <c r="D40">
        <v>3650.9682586619001</v>
      </c>
      <c r="E40">
        <v>2.5759668411633001</v>
      </c>
    </row>
    <row r="41" spans="1:5" x14ac:dyDescent="0.45">
      <c r="A41" t="s">
        <v>46</v>
      </c>
      <c r="B41" t="s">
        <v>48</v>
      </c>
      <c r="C41" t="s">
        <v>13</v>
      </c>
      <c r="D41">
        <v>31.0643838116853</v>
      </c>
      <c r="E41">
        <v>5.7832679091649499</v>
      </c>
    </row>
    <row r="42" spans="1:5" x14ac:dyDescent="0.45">
      <c r="A42" t="s">
        <v>46</v>
      </c>
      <c r="B42" t="s">
        <v>49</v>
      </c>
      <c r="C42" t="s">
        <v>13</v>
      </c>
      <c r="D42">
        <v>40.5639842282282</v>
      </c>
      <c r="E42">
        <v>1.6254449380009099</v>
      </c>
    </row>
    <row r="43" spans="1:5" x14ac:dyDescent="0.45">
      <c r="A43" t="s">
        <v>46</v>
      </c>
      <c r="B43" t="s">
        <v>50</v>
      </c>
      <c r="C43" t="s">
        <v>13</v>
      </c>
      <c r="D43">
        <v>3548.7578474392099</v>
      </c>
      <c r="E43">
        <v>3.00000437005792</v>
      </c>
    </row>
    <row r="44" spans="1:5" x14ac:dyDescent="0.45">
      <c r="A44" t="s">
        <v>46</v>
      </c>
      <c r="B44" t="s">
        <v>51</v>
      </c>
      <c r="C44" t="s">
        <v>13</v>
      </c>
      <c r="D44">
        <v>3616.6370713972701</v>
      </c>
      <c r="E44">
        <v>3.63135819319956</v>
      </c>
    </row>
    <row r="45" spans="1:5" x14ac:dyDescent="0.45">
      <c r="A45" t="s">
        <v>46</v>
      </c>
      <c r="B45" t="s">
        <v>52</v>
      </c>
      <c r="C45" t="s">
        <v>13</v>
      </c>
      <c r="D45">
        <v>3566.11798711651</v>
      </c>
      <c r="E45">
        <v>3.77125356234904</v>
      </c>
    </row>
    <row r="46" spans="1:5" x14ac:dyDescent="0.45">
      <c r="A46" t="s">
        <v>46</v>
      </c>
      <c r="B46" t="s">
        <v>53</v>
      </c>
      <c r="C46" t="s">
        <v>13</v>
      </c>
      <c r="D46">
        <v>47.9385251618084</v>
      </c>
      <c r="E46">
        <v>3.15887730692973</v>
      </c>
    </row>
    <row r="47" spans="1:5" x14ac:dyDescent="0.45">
      <c r="A47" t="s">
        <v>46</v>
      </c>
      <c r="B47" t="s">
        <v>54</v>
      </c>
      <c r="C47" t="s">
        <v>13</v>
      </c>
      <c r="D47">
        <v>38.836343364499001</v>
      </c>
      <c r="E47">
        <v>3.2206245248424801</v>
      </c>
    </row>
    <row r="48" spans="1:5" x14ac:dyDescent="0.45">
      <c r="A48" t="s">
        <v>46</v>
      </c>
      <c r="B48" t="s">
        <v>55</v>
      </c>
      <c r="C48" t="s">
        <v>13</v>
      </c>
      <c r="D48">
        <v>3577.0286764719999</v>
      </c>
      <c r="E48">
        <v>4.1336982786104404</v>
      </c>
    </row>
    <row r="49" spans="1:5" x14ac:dyDescent="0.45">
      <c r="A49" t="s">
        <v>46</v>
      </c>
      <c r="B49" t="s">
        <v>56</v>
      </c>
      <c r="C49" t="s">
        <v>13</v>
      </c>
      <c r="D49">
        <v>3628.67001610845</v>
      </c>
      <c r="E49">
        <v>2.6972188473421199</v>
      </c>
    </row>
    <row r="50" spans="1:5" x14ac:dyDescent="0.45">
      <c r="A50" t="s">
        <v>46</v>
      </c>
      <c r="B50" t="s">
        <v>57</v>
      </c>
      <c r="C50" t="s">
        <v>13</v>
      </c>
      <c r="D50">
        <v>29.591932606254701</v>
      </c>
      <c r="E50">
        <v>2.9996180825929399</v>
      </c>
    </row>
    <row r="51" spans="1:5" x14ac:dyDescent="0.45">
      <c r="A51" t="s">
        <v>46</v>
      </c>
      <c r="B51" t="s">
        <v>58</v>
      </c>
      <c r="C51" t="s">
        <v>13</v>
      </c>
      <c r="D51">
        <v>31.0103027823987</v>
      </c>
      <c r="E51">
        <v>3.79265804569238</v>
      </c>
    </row>
    <row r="52" spans="1:5" x14ac:dyDescent="0.45">
      <c r="A52" t="s">
        <v>46</v>
      </c>
      <c r="B52" t="s">
        <v>47</v>
      </c>
      <c r="C52" t="s">
        <v>14</v>
      </c>
      <c r="D52">
        <v>4550.7078630401602</v>
      </c>
      <c r="E52">
        <v>2.7495166313060002</v>
      </c>
    </row>
    <row r="53" spans="1:5" x14ac:dyDescent="0.45">
      <c r="A53" t="s">
        <v>46</v>
      </c>
      <c r="B53" t="s">
        <v>48</v>
      </c>
      <c r="C53" t="s">
        <v>14</v>
      </c>
      <c r="D53">
        <v>42.186574947952799</v>
      </c>
      <c r="E53">
        <v>5.3243347487949801</v>
      </c>
    </row>
    <row r="54" spans="1:5" x14ac:dyDescent="0.45">
      <c r="A54" t="s">
        <v>46</v>
      </c>
      <c r="B54" t="s">
        <v>49</v>
      </c>
      <c r="C54" t="s">
        <v>14</v>
      </c>
      <c r="D54">
        <v>35.0036027923273</v>
      </c>
      <c r="E54">
        <v>1.4561270959666099</v>
      </c>
    </row>
    <row r="55" spans="1:5" x14ac:dyDescent="0.45">
      <c r="A55" t="s">
        <v>46</v>
      </c>
      <c r="B55" t="s">
        <v>50</v>
      </c>
      <c r="C55" t="s">
        <v>14</v>
      </c>
      <c r="D55">
        <v>4536.1153646130197</v>
      </c>
      <c r="E55">
        <v>3.13875025403257</v>
      </c>
    </row>
    <row r="56" spans="1:5" x14ac:dyDescent="0.45">
      <c r="A56" t="s">
        <v>46</v>
      </c>
      <c r="B56" t="s">
        <v>51</v>
      </c>
      <c r="C56" t="s">
        <v>14</v>
      </c>
      <c r="D56">
        <v>4464.9021158823798</v>
      </c>
      <c r="E56">
        <v>3.90213852021013</v>
      </c>
    </row>
    <row r="57" spans="1:5" x14ac:dyDescent="0.45">
      <c r="A57" t="s">
        <v>46</v>
      </c>
      <c r="B57" t="s">
        <v>52</v>
      </c>
      <c r="C57" t="s">
        <v>14</v>
      </c>
      <c r="D57">
        <v>4639.2103276184798</v>
      </c>
      <c r="E57">
        <v>4.0115695488061203</v>
      </c>
    </row>
    <row r="58" spans="1:5" x14ac:dyDescent="0.45">
      <c r="A58" t="s">
        <v>46</v>
      </c>
      <c r="B58" t="s">
        <v>53</v>
      </c>
      <c r="C58" t="s">
        <v>14</v>
      </c>
      <c r="D58">
        <v>42.556032102026499</v>
      </c>
      <c r="E58">
        <v>3.3379965321292802</v>
      </c>
    </row>
    <row r="59" spans="1:5" x14ac:dyDescent="0.45">
      <c r="A59" t="s">
        <v>46</v>
      </c>
      <c r="B59" t="s">
        <v>54</v>
      </c>
      <c r="C59" t="s">
        <v>14</v>
      </c>
      <c r="D59">
        <v>41.9249825394852</v>
      </c>
      <c r="E59">
        <v>4.2405547968990396</v>
      </c>
    </row>
    <row r="60" spans="1:5" x14ac:dyDescent="0.45">
      <c r="A60" t="s">
        <v>46</v>
      </c>
      <c r="B60" t="s">
        <v>55</v>
      </c>
      <c r="C60" t="s">
        <v>14</v>
      </c>
      <c r="D60">
        <v>4424.9082443711404</v>
      </c>
      <c r="E60">
        <v>4.2889465644806304</v>
      </c>
    </row>
    <row r="61" spans="1:5" x14ac:dyDescent="0.45">
      <c r="A61" t="s">
        <v>46</v>
      </c>
      <c r="B61" t="s">
        <v>56</v>
      </c>
      <c r="C61" t="s">
        <v>14</v>
      </c>
      <c r="D61">
        <v>4433.8133737059297</v>
      </c>
      <c r="E61">
        <v>2.8475234538029999</v>
      </c>
    </row>
    <row r="62" spans="1:5" x14ac:dyDescent="0.45">
      <c r="A62" t="s">
        <v>46</v>
      </c>
      <c r="B62" t="s">
        <v>57</v>
      </c>
      <c r="C62" t="s">
        <v>14</v>
      </c>
      <c r="D62">
        <v>45.6681994243432</v>
      </c>
      <c r="E62">
        <v>3.1237828679403701</v>
      </c>
    </row>
    <row r="63" spans="1:5" x14ac:dyDescent="0.45">
      <c r="A63" t="s">
        <v>46</v>
      </c>
      <c r="B63" t="s">
        <v>58</v>
      </c>
      <c r="C63" t="s">
        <v>14</v>
      </c>
      <c r="D63">
        <v>33.976485881733197</v>
      </c>
      <c r="E63">
        <v>3.67605206186647</v>
      </c>
    </row>
    <row r="64" spans="1:5" x14ac:dyDescent="0.45">
      <c r="A64" t="s">
        <v>46</v>
      </c>
      <c r="B64" t="s">
        <v>47</v>
      </c>
      <c r="C64" t="s">
        <v>15</v>
      </c>
      <c r="D64">
        <v>4555.4484221050097</v>
      </c>
      <c r="E64">
        <v>2.7759505288033299</v>
      </c>
    </row>
    <row r="65" spans="1:5" x14ac:dyDescent="0.45">
      <c r="A65" t="s">
        <v>46</v>
      </c>
      <c r="B65" t="s">
        <v>48</v>
      </c>
      <c r="C65" t="s">
        <v>15</v>
      </c>
      <c r="D65">
        <v>50.6974075569306</v>
      </c>
      <c r="E65">
        <v>4.6219748816260902</v>
      </c>
    </row>
    <row r="66" spans="1:5" x14ac:dyDescent="0.45">
      <c r="A66" t="s">
        <v>46</v>
      </c>
      <c r="B66" t="s">
        <v>49</v>
      </c>
      <c r="C66" t="s">
        <v>15</v>
      </c>
      <c r="D66">
        <v>52.7956540386309</v>
      </c>
      <c r="E66">
        <v>1.6401021785076899</v>
      </c>
    </row>
    <row r="67" spans="1:5" x14ac:dyDescent="0.45">
      <c r="A67" t="s">
        <v>46</v>
      </c>
      <c r="B67" t="s">
        <v>50</v>
      </c>
      <c r="C67" t="s">
        <v>15</v>
      </c>
      <c r="D67">
        <v>4681.63555721579</v>
      </c>
      <c r="E67">
        <v>3.20428483848527</v>
      </c>
    </row>
    <row r="68" spans="1:5" x14ac:dyDescent="0.45">
      <c r="A68" t="s">
        <v>46</v>
      </c>
      <c r="B68" t="s">
        <v>51</v>
      </c>
      <c r="C68" t="s">
        <v>15</v>
      </c>
      <c r="D68">
        <v>4659.9505117397102</v>
      </c>
      <c r="E68">
        <v>3.95793367961552</v>
      </c>
    </row>
    <row r="69" spans="1:5" x14ac:dyDescent="0.45">
      <c r="A69" t="s">
        <v>46</v>
      </c>
      <c r="B69" t="s">
        <v>52</v>
      </c>
      <c r="C69" t="s">
        <v>15</v>
      </c>
      <c r="D69">
        <v>4783.22563899339</v>
      </c>
      <c r="E69">
        <v>4.0237629085032598</v>
      </c>
    </row>
    <row r="70" spans="1:5" x14ac:dyDescent="0.45">
      <c r="A70" t="s">
        <v>46</v>
      </c>
      <c r="B70" t="s">
        <v>53</v>
      </c>
      <c r="C70" t="s">
        <v>15</v>
      </c>
      <c r="D70">
        <v>51.1660539145931</v>
      </c>
      <c r="E70">
        <v>3.9457095050534901</v>
      </c>
    </row>
    <row r="71" spans="1:5" x14ac:dyDescent="0.45">
      <c r="A71" t="s">
        <v>46</v>
      </c>
      <c r="B71" t="s">
        <v>54</v>
      </c>
      <c r="C71" t="s">
        <v>15</v>
      </c>
      <c r="D71">
        <v>45.509951868425098</v>
      </c>
      <c r="E71">
        <v>3.25415466750382</v>
      </c>
    </row>
    <row r="72" spans="1:5" x14ac:dyDescent="0.45">
      <c r="A72" t="s">
        <v>46</v>
      </c>
      <c r="B72" t="s">
        <v>55</v>
      </c>
      <c r="C72" t="s">
        <v>15</v>
      </c>
      <c r="D72">
        <v>4719.5649199301397</v>
      </c>
      <c r="E72">
        <v>4.3148291295133898</v>
      </c>
    </row>
    <row r="73" spans="1:5" x14ac:dyDescent="0.45">
      <c r="A73" t="s">
        <v>46</v>
      </c>
      <c r="B73" t="s">
        <v>56</v>
      </c>
      <c r="C73" t="s">
        <v>15</v>
      </c>
      <c r="D73">
        <v>4591.12107204939</v>
      </c>
      <c r="E73">
        <v>2.8347550242944002</v>
      </c>
    </row>
    <row r="74" spans="1:5" x14ac:dyDescent="0.45">
      <c r="A74" t="s">
        <v>46</v>
      </c>
      <c r="B74" t="s">
        <v>57</v>
      </c>
      <c r="C74" t="s">
        <v>15</v>
      </c>
      <c r="D74">
        <v>40.062868495273896</v>
      </c>
      <c r="E74">
        <v>2.7604653617390098</v>
      </c>
    </row>
    <row r="75" spans="1:5" x14ac:dyDescent="0.45">
      <c r="A75" t="s">
        <v>46</v>
      </c>
      <c r="B75" t="s">
        <v>58</v>
      </c>
      <c r="C75" t="s">
        <v>15</v>
      </c>
      <c r="D75">
        <v>50.348130692211001</v>
      </c>
      <c r="E75">
        <v>4.3992724720374703</v>
      </c>
    </row>
    <row r="76" spans="1:5" x14ac:dyDescent="0.45">
      <c r="A76" t="s">
        <v>46</v>
      </c>
      <c r="B76" t="s">
        <v>47</v>
      </c>
      <c r="C76" t="s">
        <v>16</v>
      </c>
      <c r="D76">
        <v>4813.1085948177197</v>
      </c>
      <c r="E76">
        <v>2.76736836537982</v>
      </c>
    </row>
    <row r="77" spans="1:5" x14ac:dyDescent="0.45">
      <c r="A77" t="s">
        <v>46</v>
      </c>
      <c r="B77" t="s">
        <v>48</v>
      </c>
      <c r="C77" t="s">
        <v>16</v>
      </c>
      <c r="D77">
        <v>51.852988274344199</v>
      </c>
      <c r="E77">
        <v>4.7661028633002704</v>
      </c>
    </row>
    <row r="78" spans="1:5" x14ac:dyDescent="0.45">
      <c r="A78" t="s">
        <v>46</v>
      </c>
      <c r="B78" t="s">
        <v>49</v>
      </c>
      <c r="C78" t="s">
        <v>16</v>
      </c>
      <c r="D78">
        <v>55.618823199851903</v>
      </c>
      <c r="E78">
        <v>1.5526509157166899</v>
      </c>
    </row>
    <row r="79" spans="1:5" x14ac:dyDescent="0.45">
      <c r="A79" t="s">
        <v>46</v>
      </c>
      <c r="B79" t="s">
        <v>50</v>
      </c>
      <c r="C79" t="s">
        <v>16</v>
      </c>
      <c r="D79">
        <v>4926.6342916016001</v>
      </c>
      <c r="E79">
        <v>3.2445665462230799</v>
      </c>
    </row>
    <row r="80" spans="1:5" x14ac:dyDescent="0.45">
      <c r="A80" t="s">
        <v>46</v>
      </c>
      <c r="B80" t="s">
        <v>51</v>
      </c>
      <c r="C80" t="s">
        <v>16</v>
      </c>
      <c r="D80">
        <v>4896.0766616191404</v>
      </c>
      <c r="E80">
        <v>3.96751577353964</v>
      </c>
    </row>
    <row r="81" spans="1:5" x14ac:dyDescent="0.45">
      <c r="A81" t="s">
        <v>46</v>
      </c>
      <c r="B81" t="s">
        <v>52</v>
      </c>
      <c r="C81" t="s">
        <v>16</v>
      </c>
      <c r="D81">
        <v>5010.5605769877502</v>
      </c>
      <c r="E81">
        <v>4.1072885849775496</v>
      </c>
    </row>
    <row r="82" spans="1:5" x14ac:dyDescent="0.45">
      <c r="A82" t="s">
        <v>46</v>
      </c>
      <c r="B82" t="s">
        <v>53</v>
      </c>
      <c r="C82" t="s">
        <v>16</v>
      </c>
      <c r="D82">
        <v>51.974566467972501</v>
      </c>
      <c r="E82">
        <v>3.52954128151063</v>
      </c>
    </row>
    <row r="83" spans="1:5" x14ac:dyDescent="0.45">
      <c r="A83" t="s">
        <v>46</v>
      </c>
      <c r="B83" t="s">
        <v>54</v>
      </c>
      <c r="C83" t="s">
        <v>16</v>
      </c>
      <c r="D83">
        <v>46.579007076791001</v>
      </c>
      <c r="E83">
        <v>4.3520810740717097</v>
      </c>
    </row>
    <row r="84" spans="1:5" x14ac:dyDescent="0.45">
      <c r="A84" t="s">
        <v>46</v>
      </c>
      <c r="B84" t="s">
        <v>55</v>
      </c>
      <c r="C84" t="s">
        <v>16</v>
      </c>
      <c r="D84">
        <v>4845.2711875708301</v>
      </c>
      <c r="E84">
        <v>4.3486669828338202</v>
      </c>
    </row>
    <row r="85" spans="1:5" x14ac:dyDescent="0.45">
      <c r="A85" t="s">
        <v>46</v>
      </c>
      <c r="B85" t="s">
        <v>56</v>
      </c>
      <c r="C85" t="s">
        <v>16</v>
      </c>
      <c r="D85">
        <v>4798.4051851097502</v>
      </c>
      <c r="E85">
        <v>2.9178231100485301</v>
      </c>
    </row>
    <row r="86" spans="1:5" x14ac:dyDescent="0.45">
      <c r="A86" t="s">
        <v>46</v>
      </c>
      <c r="B86" t="s">
        <v>57</v>
      </c>
      <c r="C86" t="s">
        <v>16</v>
      </c>
      <c r="D86">
        <v>48.143972338032903</v>
      </c>
      <c r="E86">
        <v>2.5619676142827701</v>
      </c>
    </row>
    <row r="87" spans="1:5" x14ac:dyDescent="0.45">
      <c r="A87" t="s">
        <v>46</v>
      </c>
      <c r="B87" t="s">
        <v>58</v>
      </c>
      <c r="C87" t="s">
        <v>16</v>
      </c>
      <c r="D87">
        <v>48.008215489184899</v>
      </c>
      <c r="E87">
        <v>4.5178054664160996</v>
      </c>
    </row>
    <row r="88" spans="1:5" x14ac:dyDescent="0.45">
      <c r="A88" t="s">
        <v>46</v>
      </c>
      <c r="B88" t="s">
        <v>47</v>
      </c>
      <c r="C88" t="s">
        <v>17</v>
      </c>
      <c r="D88">
        <v>5181.6516219861596</v>
      </c>
      <c r="E88">
        <v>2.8271354053706399</v>
      </c>
    </row>
    <row r="89" spans="1:5" x14ac:dyDescent="0.45">
      <c r="A89" t="s">
        <v>46</v>
      </c>
      <c r="B89" t="s">
        <v>48</v>
      </c>
      <c r="C89" t="s">
        <v>17</v>
      </c>
      <c r="D89">
        <v>61.487375651807497</v>
      </c>
      <c r="E89">
        <v>3.96419563222477</v>
      </c>
    </row>
    <row r="90" spans="1:5" x14ac:dyDescent="0.45">
      <c r="A90" t="s">
        <v>46</v>
      </c>
      <c r="B90" t="s">
        <v>49</v>
      </c>
      <c r="C90" t="s">
        <v>17</v>
      </c>
      <c r="D90">
        <v>52.801731387649198</v>
      </c>
      <c r="E90">
        <v>2.01219903678385</v>
      </c>
    </row>
    <row r="91" spans="1:5" x14ac:dyDescent="0.45">
      <c r="A91" t="s">
        <v>46</v>
      </c>
      <c r="B91" t="s">
        <v>50</v>
      </c>
      <c r="C91" t="s">
        <v>17</v>
      </c>
      <c r="D91">
        <v>5179.5467840588999</v>
      </c>
      <c r="E91">
        <v>3.23464577332917</v>
      </c>
    </row>
    <row r="92" spans="1:5" x14ac:dyDescent="0.45">
      <c r="A92" t="s">
        <v>46</v>
      </c>
      <c r="B92" t="s">
        <v>51</v>
      </c>
      <c r="C92" t="s">
        <v>17</v>
      </c>
      <c r="D92">
        <v>5384.0908625964803</v>
      </c>
      <c r="E92">
        <v>3.98157875063134</v>
      </c>
    </row>
    <row r="93" spans="1:5" x14ac:dyDescent="0.45">
      <c r="A93" t="s">
        <v>46</v>
      </c>
      <c r="B93" t="s">
        <v>52</v>
      </c>
      <c r="C93" t="s">
        <v>17</v>
      </c>
      <c r="D93">
        <v>5303.9857638244603</v>
      </c>
      <c r="E93">
        <v>4.1289153262765002</v>
      </c>
    </row>
    <row r="94" spans="1:5" x14ac:dyDescent="0.45">
      <c r="A94" t="s">
        <v>46</v>
      </c>
      <c r="B94" t="s">
        <v>53</v>
      </c>
      <c r="C94" t="s">
        <v>17</v>
      </c>
      <c r="D94">
        <v>48.637310905726601</v>
      </c>
      <c r="E94">
        <v>3.1360285968362098</v>
      </c>
    </row>
    <row r="95" spans="1:5" x14ac:dyDescent="0.45">
      <c r="A95" t="s">
        <v>46</v>
      </c>
      <c r="B95" t="s">
        <v>54</v>
      </c>
      <c r="C95" t="s">
        <v>17</v>
      </c>
      <c r="D95">
        <v>38.550049227289897</v>
      </c>
      <c r="E95">
        <v>3.1878949295094601</v>
      </c>
    </row>
    <row r="96" spans="1:5" x14ac:dyDescent="0.45">
      <c r="A96" t="s">
        <v>46</v>
      </c>
      <c r="B96" t="s">
        <v>55</v>
      </c>
      <c r="C96" t="s">
        <v>17</v>
      </c>
      <c r="D96">
        <v>5168.1626213792997</v>
      </c>
      <c r="E96">
        <v>4.36618030745562</v>
      </c>
    </row>
    <row r="97" spans="1:5" x14ac:dyDescent="0.45">
      <c r="A97" t="s">
        <v>46</v>
      </c>
      <c r="B97" t="s">
        <v>56</v>
      </c>
      <c r="C97" t="s">
        <v>17</v>
      </c>
      <c r="D97">
        <v>5116.4090390987603</v>
      </c>
      <c r="E97">
        <v>2.9113276299162201</v>
      </c>
    </row>
    <row r="98" spans="1:5" x14ac:dyDescent="0.45">
      <c r="A98" t="s">
        <v>46</v>
      </c>
      <c r="B98" t="s">
        <v>57</v>
      </c>
      <c r="C98" t="s">
        <v>17</v>
      </c>
      <c r="D98">
        <v>62.092058252268501</v>
      </c>
      <c r="E98">
        <v>2.6566568314921799</v>
      </c>
    </row>
    <row r="99" spans="1:5" x14ac:dyDescent="0.45">
      <c r="A99" t="s">
        <v>46</v>
      </c>
      <c r="B99" t="s">
        <v>58</v>
      </c>
      <c r="C99" t="s">
        <v>17</v>
      </c>
      <c r="D99">
        <v>57.251796335170503</v>
      </c>
      <c r="E99">
        <v>4.0607193989866204</v>
      </c>
    </row>
    <row r="100" spans="1:5" x14ac:dyDescent="0.45">
      <c r="A100" t="s">
        <v>46</v>
      </c>
      <c r="B100" t="s">
        <v>47</v>
      </c>
      <c r="C100" t="s">
        <v>18</v>
      </c>
      <c r="D100">
        <v>5252.1015095331104</v>
      </c>
      <c r="E100">
        <v>3.3178139862407798</v>
      </c>
    </row>
    <row r="101" spans="1:5" x14ac:dyDescent="0.45">
      <c r="A101" t="s">
        <v>46</v>
      </c>
      <c r="B101" t="s">
        <v>48</v>
      </c>
      <c r="C101" t="s">
        <v>18</v>
      </c>
      <c r="D101">
        <v>53.4859621863556</v>
      </c>
      <c r="E101">
        <v>5.7046521197893503</v>
      </c>
    </row>
    <row r="102" spans="1:5" x14ac:dyDescent="0.45">
      <c r="A102" t="s">
        <v>46</v>
      </c>
      <c r="B102" t="s">
        <v>49</v>
      </c>
      <c r="C102" t="s">
        <v>18</v>
      </c>
      <c r="D102">
        <v>48.231309918311901</v>
      </c>
      <c r="E102">
        <v>1.90893857069491</v>
      </c>
    </row>
    <row r="103" spans="1:5" x14ac:dyDescent="0.45">
      <c r="A103" t="s">
        <v>46</v>
      </c>
      <c r="B103" t="s">
        <v>50</v>
      </c>
      <c r="C103" t="s">
        <v>18</v>
      </c>
      <c r="D103">
        <v>5228.7033145802297</v>
      </c>
      <c r="E103">
        <v>3.8239677078043401</v>
      </c>
    </row>
    <row r="104" spans="1:5" x14ac:dyDescent="0.45">
      <c r="A104" t="s">
        <v>46</v>
      </c>
      <c r="B104" t="s">
        <v>51</v>
      </c>
      <c r="C104" t="s">
        <v>18</v>
      </c>
      <c r="D104">
        <v>5240.0432825888402</v>
      </c>
      <c r="E104">
        <v>4.6570940151862397</v>
      </c>
    </row>
    <row r="105" spans="1:5" x14ac:dyDescent="0.45">
      <c r="A105" t="s">
        <v>46</v>
      </c>
      <c r="B105" t="s">
        <v>52</v>
      </c>
      <c r="C105" t="s">
        <v>18</v>
      </c>
      <c r="D105">
        <v>5176.4978004635404</v>
      </c>
      <c r="E105">
        <v>4.8361751022305199</v>
      </c>
    </row>
    <row r="106" spans="1:5" x14ac:dyDescent="0.45">
      <c r="A106" t="s">
        <v>46</v>
      </c>
      <c r="B106" t="s">
        <v>53</v>
      </c>
      <c r="C106" t="s">
        <v>18</v>
      </c>
      <c r="D106">
        <v>56.246289305328403</v>
      </c>
      <c r="E106">
        <v>3.8692115290376101</v>
      </c>
    </row>
    <row r="107" spans="1:5" x14ac:dyDescent="0.45">
      <c r="A107" t="s">
        <v>46</v>
      </c>
      <c r="B107" t="s">
        <v>54</v>
      </c>
      <c r="C107" t="s">
        <v>18</v>
      </c>
      <c r="D107">
        <v>54.327379820249</v>
      </c>
      <c r="E107">
        <v>4.80031144567144</v>
      </c>
    </row>
    <row r="108" spans="1:5" x14ac:dyDescent="0.45">
      <c r="A108" t="s">
        <v>46</v>
      </c>
      <c r="B108" t="s">
        <v>55</v>
      </c>
      <c r="C108" t="s">
        <v>18</v>
      </c>
      <c r="D108">
        <v>5313.9322830186402</v>
      </c>
      <c r="E108">
        <v>5.11071798693935</v>
      </c>
    </row>
    <row r="109" spans="1:5" x14ac:dyDescent="0.45">
      <c r="A109" t="s">
        <v>46</v>
      </c>
      <c r="B109" t="s">
        <v>56</v>
      </c>
      <c r="C109" t="s">
        <v>18</v>
      </c>
      <c r="D109">
        <v>5247.4566011884299</v>
      </c>
      <c r="E109">
        <v>3.3613043615140401</v>
      </c>
    </row>
    <row r="110" spans="1:5" x14ac:dyDescent="0.45">
      <c r="A110" t="s">
        <v>46</v>
      </c>
      <c r="B110" t="s">
        <v>57</v>
      </c>
      <c r="C110" t="s">
        <v>18</v>
      </c>
      <c r="D110">
        <v>53.369242810716401</v>
      </c>
      <c r="E110">
        <v>3.4453648333365501</v>
      </c>
    </row>
    <row r="111" spans="1:5" x14ac:dyDescent="0.45">
      <c r="A111" t="s">
        <v>46</v>
      </c>
      <c r="B111" t="s">
        <v>58</v>
      </c>
      <c r="C111" t="s">
        <v>18</v>
      </c>
      <c r="D111">
        <v>54.827457936792598</v>
      </c>
      <c r="E111">
        <v>5.0771003078442796</v>
      </c>
    </row>
    <row r="112" spans="1:5" x14ac:dyDescent="0.45">
      <c r="A112" t="s">
        <v>46</v>
      </c>
      <c r="B112" t="s">
        <v>47</v>
      </c>
      <c r="C112" t="s">
        <v>19</v>
      </c>
      <c r="D112">
        <v>5203.6260266528398</v>
      </c>
      <c r="E112">
        <v>3.33368592457711</v>
      </c>
    </row>
    <row r="113" spans="1:5" x14ac:dyDescent="0.45">
      <c r="A113" t="s">
        <v>46</v>
      </c>
      <c r="B113" t="s">
        <v>48</v>
      </c>
      <c r="C113" t="s">
        <v>19</v>
      </c>
      <c r="D113">
        <v>56.246965573679198</v>
      </c>
      <c r="E113">
        <v>5.8041963506507601</v>
      </c>
    </row>
    <row r="114" spans="1:5" x14ac:dyDescent="0.45">
      <c r="A114" t="s">
        <v>46</v>
      </c>
      <c r="B114" t="s">
        <v>49</v>
      </c>
      <c r="C114" t="s">
        <v>19</v>
      </c>
      <c r="D114">
        <v>55.387704245313103</v>
      </c>
      <c r="E114">
        <v>2.0297297423963898</v>
      </c>
    </row>
    <row r="115" spans="1:5" x14ac:dyDescent="0.45">
      <c r="A115" t="s">
        <v>46</v>
      </c>
      <c r="B115" t="s">
        <v>50</v>
      </c>
      <c r="C115" t="s">
        <v>19</v>
      </c>
      <c r="D115">
        <v>5239.1856740436997</v>
      </c>
      <c r="E115">
        <v>3.8767224864706602</v>
      </c>
    </row>
    <row r="116" spans="1:5" x14ac:dyDescent="0.45">
      <c r="A116" t="s">
        <v>46</v>
      </c>
      <c r="B116" t="s">
        <v>51</v>
      </c>
      <c r="C116" t="s">
        <v>19</v>
      </c>
      <c r="D116">
        <v>5073.11457568684</v>
      </c>
      <c r="E116">
        <v>4.7873054094137402</v>
      </c>
    </row>
    <row r="117" spans="1:5" x14ac:dyDescent="0.45">
      <c r="A117" t="s">
        <v>46</v>
      </c>
      <c r="B117" t="s">
        <v>52</v>
      </c>
      <c r="C117" t="s">
        <v>19</v>
      </c>
      <c r="D117">
        <v>5098.2819273947498</v>
      </c>
      <c r="E117">
        <v>4.9153170750123003</v>
      </c>
    </row>
    <row r="118" spans="1:5" x14ac:dyDescent="0.45">
      <c r="A118" t="s">
        <v>46</v>
      </c>
      <c r="B118" t="s">
        <v>53</v>
      </c>
      <c r="C118" t="s">
        <v>19</v>
      </c>
      <c r="D118">
        <v>63.365319634838997</v>
      </c>
      <c r="E118">
        <v>4.1095043943801297</v>
      </c>
    </row>
    <row r="119" spans="1:5" x14ac:dyDescent="0.45">
      <c r="A119" t="s">
        <v>46</v>
      </c>
      <c r="B119" t="s">
        <v>54</v>
      </c>
      <c r="C119" t="s">
        <v>19</v>
      </c>
      <c r="D119">
        <v>62.509408066079502</v>
      </c>
      <c r="E119">
        <v>4.5500472788394299</v>
      </c>
    </row>
    <row r="120" spans="1:5" x14ac:dyDescent="0.45">
      <c r="A120" t="s">
        <v>46</v>
      </c>
      <c r="B120" t="s">
        <v>55</v>
      </c>
      <c r="C120" t="s">
        <v>19</v>
      </c>
      <c r="D120">
        <v>5157.9714947502898</v>
      </c>
      <c r="E120">
        <v>5.1924852945706101</v>
      </c>
    </row>
    <row r="121" spans="1:5" x14ac:dyDescent="0.45">
      <c r="A121" t="s">
        <v>46</v>
      </c>
      <c r="B121" t="s">
        <v>56</v>
      </c>
      <c r="C121" t="s">
        <v>19</v>
      </c>
      <c r="D121">
        <v>5092.3396784304196</v>
      </c>
      <c r="E121">
        <v>3.4693394588397299</v>
      </c>
    </row>
    <row r="122" spans="1:5" x14ac:dyDescent="0.45">
      <c r="A122" t="s">
        <v>46</v>
      </c>
      <c r="B122" t="s">
        <v>57</v>
      </c>
      <c r="C122" t="s">
        <v>19</v>
      </c>
      <c r="D122">
        <v>47.584744820254897</v>
      </c>
      <c r="E122">
        <v>3.1774340978237898</v>
      </c>
    </row>
    <row r="123" spans="1:5" x14ac:dyDescent="0.45">
      <c r="A123" t="s">
        <v>46</v>
      </c>
      <c r="B123" t="s">
        <v>58</v>
      </c>
      <c r="C123" t="s">
        <v>19</v>
      </c>
      <c r="D123">
        <v>57.490752892473203</v>
      </c>
      <c r="E123">
        <v>6.20977059600947</v>
      </c>
    </row>
    <row r="124" spans="1:5" x14ac:dyDescent="0.45">
      <c r="A124" t="s">
        <v>46</v>
      </c>
      <c r="B124" t="s">
        <v>47</v>
      </c>
      <c r="C124" t="s">
        <v>20</v>
      </c>
      <c r="D124">
        <v>4778.1577573516597</v>
      </c>
      <c r="E124">
        <v>3.26508069803721</v>
      </c>
    </row>
    <row r="125" spans="1:5" x14ac:dyDescent="0.45">
      <c r="A125" t="s">
        <v>46</v>
      </c>
      <c r="B125" t="s">
        <v>48</v>
      </c>
      <c r="C125" t="s">
        <v>20</v>
      </c>
      <c r="D125">
        <v>40.594290553240597</v>
      </c>
      <c r="E125">
        <v>6.06736984906318</v>
      </c>
    </row>
    <row r="126" spans="1:5" x14ac:dyDescent="0.45">
      <c r="A126" t="s">
        <v>46</v>
      </c>
      <c r="B126" t="s">
        <v>49</v>
      </c>
      <c r="C126" t="s">
        <v>20</v>
      </c>
      <c r="D126">
        <v>38.614058449850397</v>
      </c>
      <c r="E126">
        <v>2.0660943874695801</v>
      </c>
    </row>
    <row r="127" spans="1:5" x14ac:dyDescent="0.45">
      <c r="A127" t="s">
        <v>46</v>
      </c>
      <c r="B127" t="s">
        <v>50</v>
      </c>
      <c r="C127" t="s">
        <v>20</v>
      </c>
      <c r="D127">
        <v>4862.0342159502197</v>
      </c>
      <c r="E127">
        <v>3.75712459022045</v>
      </c>
    </row>
    <row r="128" spans="1:5" x14ac:dyDescent="0.45">
      <c r="A128" t="s">
        <v>46</v>
      </c>
      <c r="B128" t="s">
        <v>51</v>
      </c>
      <c r="C128" t="s">
        <v>20</v>
      </c>
      <c r="D128">
        <v>4871.3891941873899</v>
      </c>
      <c r="E128">
        <v>4.5600056781748899</v>
      </c>
    </row>
    <row r="129" spans="1:5" x14ac:dyDescent="0.45">
      <c r="A129" t="s">
        <v>46</v>
      </c>
      <c r="B129" t="s">
        <v>52</v>
      </c>
      <c r="C129" t="s">
        <v>20</v>
      </c>
      <c r="D129">
        <v>4751.1553353048103</v>
      </c>
      <c r="E129">
        <v>4.7771943165838699</v>
      </c>
    </row>
    <row r="130" spans="1:5" x14ac:dyDescent="0.45">
      <c r="A130" t="s">
        <v>46</v>
      </c>
      <c r="B130" t="s">
        <v>53</v>
      </c>
      <c r="C130" t="s">
        <v>20</v>
      </c>
      <c r="D130">
        <v>53.4407024125126</v>
      </c>
      <c r="E130">
        <v>4.2322138845861703</v>
      </c>
    </row>
    <row r="131" spans="1:5" x14ac:dyDescent="0.45">
      <c r="A131" t="s">
        <v>46</v>
      </c>
      <c r="B131" t="s">
        <v>54</v>
      </c>
      <c r="C131" t="s">
        <v>20</v>
      </c>
      <c r="D131">
        <v>45.056923413141597</v>
      </c>
      <c r="E131">
        <v>4.4828350634534599</v>
      </c>
    </row>
    <row r="132" spans="1:5" x14ac:dyDescent="0.45">
      <c r="A132" t="s">
        <v>46</v>
      </c>
      <c r="B132" t="s">
        <v>55</v>
      </c>
      <c r="C132" t="s">
        <v>20</v>
      </c>
      <c r="D132">
        <v>4870.3336110835799</v>
      </c>
      <c r="E132">
        <v>5.0548998052226404</v>
      </c>
    </row>
    <row r="133" spans="1:5" x14ac:dyDescent="0.45">
      <c r="A133" t="s">
        <v>46</v>
      </c>
      <c r="B133" t="s">
        <v>56</v>
      </c>
      <c r="C133" t="s">
        <v>20</v>
      </c>
      <c r="D133">
        <v>4856.0501107071595</v>
      </c>
      <c r="E133">
        <v>3.3595765448724202</v>
      </c>
    </row>
    <row r="134" spans="1:5" x14ac:dyDescent="0.45">
      <c r="A134" t="s">
        <v>46</v>
      </c>
      <c r="B134" t="s">
        <v>57</v>
      </c>
      <c r="C134" t="s">
        <v>20</v>
      </c>
      <c r="D134">
        <v>49.672890446395598</v>
      </c>
      <c r="E134">
        <v>3.48897843638122</v>
      </c>
    </row>
    <row r="135" spans="1:5" x14ac:dyDescent="0.45">
      <c r="A135" t="s">
        <v>46</v>
      </c>
      <c r="B135" t="s">
        <v>58</v>
      </c>
      <c r="C135" t="s">
        <v>20</v>
      </c>
      <c r="D135">
        <v>54.179806690982097</v>
      </c>
      <c r="E135">
        <v>5.7840828055056601</v>
      </c>
    </row>
    <row r="136" spans="1:5" x14ac:dyDescent="0.45">
      <c r="A136" t="s">
        <v>46</v>
      </c>
      <c r="B136" t="s">
        <v>47</v>
      </c>
      <c r="C136" t="s">
        <v>21</v>
      </c>
      <c r="D136">
        <v>3885.6444184785501</v>
      </c>
      <c r="E136">
        <v>3.2073385674483501</v>
      </c>
    </row>
    <row r="137" spans="1:5" x14ac:dyDescent="0.45">
      <c r="A137" t="s">
        <v>46</v>
      </c>
      <c r="B137" t="s">
        <v>48</v>
      </c>
      <c r="C137" t="s">
        <v>21</v>
      </c>
      <c r="D137">
        <v>42.207482207161398</v>
      </c>
      <c r="E137">
        <v>4.4333176023454701</v>
      </c>
    </row>
    <row r="138" spans="1:5" x14ac:dyDescent="0.45">
      <c r="A138" t="s">
        <v>46</v>
      </c>
      <c r="B138" t="s">
        <v>49</v>
      </c>
      <c r="C138" t="s">
        <v>21</v>
      </c>
      <c r="D138">
        <v>31.916100784863801</v>
      </c>
      <c r="E138">
        <v>2.0914413565743799</v>
      </c>
    </row>
    <row r="139" spans="1:5" x14ac:dyDescent="0.45">
      <c r="A139" t="s">
        <v>46</v>
      </c>
      <c r="B139" t="s">
        <v>50</v>
      </c>
      <c r="C139" t="s">
        <v>21</v>
      </c>
      <c r="D139">
        <v>3889.37409851335</v>
      </c>
      <c r="E139">
        <v>3.6968418080805101</v>
      </c>
    </row>
    <row r="140" spans="1:5" x14ac:dyDescent="0.45">
      <c r="A140" t="s">
        <v>46</v>
      </c>
      <c r="B140" t="s">
        <v>51</v>
      </c>
      <c r="C140" t="s">
        <v>21</v>
      </c>
      <c r="D140">
        <v>3833.20774351821</v>
      </c>
      <c r="E140">
        <v>4.58685290028063</v>
      </c>
    </row>
    <row r="141" spans="1:5" x14ac:dyDescent="0.45">
      <c r="A141" t="s">
        <v>46</v>
      </c>
      <c r="B141" t="s">
        <v>52</v>
      </c>
      <c r="C141" t="s">
        <v>21</v>
      </c>
      <c r="D141">
        <v>3949.8699174855801</v>
      </c>
      <c r="E141">
        <v>4.7959492355503199</v>
      </c>
    </row>
    <row r="142" spans="1:5" x14ac:dyDescent="0.45">
      <c r="A142" t="s">
        <v>46</v>
      </c>
      <c r="B142" t="s">
        <v>53</v>
      </c>
      <c r="C142" t="s">
        <v>21</v>
      </c>
      <c r="D142">
        <v>33.2005950191989</v>
      </c>
      <c r="E142">
        <v>4.6961002176375803</v>
      </c>
    </row>
    <row r="143" spans="1:5" x14ac:dyDescent="0.45">
      <c r="A143" t="s">
        <v>46</v>
      </c>
      <c r="B143" t="s">
        <v>54</v>
      </c>
      <c r="C143" t="s">
        <v>21</v>
      </c>
      <c r="D143">
        <v>38.066461186651097</v>
      </c>
      <c r="E143">
        <v>4.5961227537719704</v>
      </c>
    </row>
    <row r="144" spans="1:5" x14ac:dyDescent="0.45">
      <c r="A144" t="s">
        <v>46</v>
      </c>
      <c r="B144" t="s">
        <v>55</v>
      </c>
      <c r="C144" t="s">
        <v>21</v>
      </c>
      <c r="D144">
        <v>3816.3944652301102</v>
      </c>
      <c r="E144">
        <v>4.9614021035662601</v>
      </c>
    </row>
    <row r="145" spans="1:5" x14ac:dyDescent="0.45">
      <c r="A145" t="s">
        <v>46</v>
      </c>
      <c r="B145" t="s">
        <v>56</v>
      </c>
      <c r="C145" t="s">
        <v>21</v>
      </c>
      <c r="D145">
        <v>3917.62926119234</v>
      </c>
      <c r="E145">
        <v>3.3085543012370802</v>
      </c>
    </row>
    <row r="146" spans="1:5" x14ac:dyDescent="0.45">
      <c r="A146" t="s">
        <v>46</v>
      </c>
      <c r="B146" t="s">
        <v>57</v>
      </c>
      <c r="C146" t="s">
        <v>21</v>
      </c>
      <c r="D146">
        <v>40.667848132257298</v>
      </c>
      <c r="E146">
        <v>2.8892012497983899</v>
      </c>
    </row>
    <row r="147" spans="1:5" x14ac:dyDescent="0.45">
      <c r="A147" t="s">
        <v>46</v>
      </c>
      <c r="B147" t="s">
        <v>58</v>
      </c>
      <c r="C147" t="s">
        <v>21</v>
      </c>
      <c r="D147">
        <v>24.113376694349601</v>
      </c>
      <c r="E147">
        <v>4.5923587329176803</v>
      </c>
    </row>
    <row r="148" spans="1:5" x14ac:dyDescent="0.45">
      <c r="A148" t="s">
        <v>46</v>
      </c>
      <c r="B148" t="s">
        <v>47</v>
      </c>
      <c r="C148" t="s">
        <v>22</v>
      </c>
      <c r="D148">
        <v>2767.5104479821798</v>
      </c>
      <c r="E148">
        <v>3.9216068841466498</v>
      </c>
    </row>
    <row r="149" spans="1:5" x14ac:dyDescent="0.45">
      <c r="A149" t="s">
        <v>46</v>
      </c>
      <c r="B149" t="s">
        <v>48</v>
      </c>
      <c r="C149" t="s">
        <v>22</v>
      </c>
      <c r="D149">
        <v>28.677562156778301</v>
      </c>
      <c r="E149">
        <v>6.8462534218776998</v>
      </c>
    </row>
    <row r="150" spans="1:5" x14ac:dyDescent="0.45">
      <c r="A150" t="s">
        <v>46</v>
      </c>
      <c r="B150" t="s">
        <v>49</v>
      </c>
      <c r="C150" t="s">
        <v>22</v>
      </c>
      <c r="D150">
        <v>27.374472710115398</v>
      </c>
      <c r="E150">
        <v>2.2148204485638998</v>
      </c>
    </row>
    <row r="151" spans="1:5" x14ac:dyDescent="0.45">
      <c r="A151" t="s">
        <v>46</v>
      </c>
      <c r="B151" t="s">
        <v>50</v>
      </c>
      <c r="C151" t="s">
        <v>22</v>
      </c>
      <c r="D151">
        <v>2748.8874857906299</v>
      </c>
      <c r="E151">
        <v>4.6331282946000698</v>
      </c>
    </row>
    <row r="152" spans="1:5" x14ac:dyDescent="0.45">
      <c r="A152" t="s">
        <v>46</v>
      </c>
      <c r="B152" t="s">
        <v>51</v>
      </c>
      <c r="C152" t="s">
        <v>22</v>
      </c>
      <c r="D152">
        <v>2884.3147664848898</v>
      </c>
      <c r="E152">
        <v>5.6575789147046196</v>
      </c>
    </row>
    <row r="153" spans="1:5" x14ac:dyDescent="0.45">
      <c r="A153" t="s">
        <v>46</v>
      </c>
      <c r="B153" t="s">
        <v>52</v>
      </c>
      <c r="C153" t="s">
        <v>22</v>
      </c>
      <c r="D153">
        <v>2795.6844343421699</v>
      </c>
      <c r="E153">
        <v>5.8087937168445603</v>
      </c>
    </row>
    <row r="154" spans="1:5" x14ac:dyDescent="0.45">
      <c r="A154" t="s">
        <v>46</v>
      </c>
      <c r="B154" t="s">
        <v>53</v>
      </c>
      <c r="C154" t="s">
        <v>22</v>
      </c>
      <c r="D154">
        <v>33.502582813205699</v>
      </c>
      <c r="E154">
        <v>4.1627527197738399</v>
      </c>
    </row>
    <row r="155" spans="1:5" x14ac:dyDescent="0.45">
      <c r="A155" t="s">
        <v>46</v>
      </c>
      <c r="B155" t="s">
        <v>54</v>
      </c>
      <c r="C155" t="s">
        <v>22</v>
      </c>
      <c r="D155">
        <v>32.717797600903999</v>
      </c>
      <c r="E155">
        <v>4.2519737555561798</v>
      </c>
    </row>
    <row r="156" spans="1:5" x14ac:dyDescent="0.45">
      <c r="A156" t="s">
        <v>46</v>
      </c>
      <c r="B156" t="s">
        <v>55</v>
      </c>
      <c r="C156" t="s">
        <v>22</v>
      </c>
      <c r="D156">
        <v>2793.5341898745801</v>
      </c>
      <c r="E156">
        <v>6.3873586168342804</v>
      </c>
    </row>
    <row r="157" spans="1:5" x14ac:dyDescent="0.45">
      <c r="A157" t="s">
        <v>46</v>
      </c>
      <c r="B157" t="s">
        <v>56</v>
      </c>
      <c r="C157" t="s">
        <v>22</v>
      </c>
      <c r="D157">
        <v>2806.4284599759799</v>
      </c>
      <c r="E157">
        <v>4.1471701278842197</v>
      </c>
    </row>
    <row r="158" spans="1:5" x14ac:dyDescent="0.45">
      <c r="A158" t="s">
        <v>46</v>
      </c>
      <c r="B158" t="s">
        <v>57</v>
      </c>
      <c r="C158" t="s">
        <v>22</v>
      </c>
      <c r="D158">
        <v>30.880542799036501</v>
      </c>
      <c r="E158">
        <v>3.5046469654950299</v>
      </c>
    </row>
    <row r="159" spans="1:5" x14ac:dyDescent="0.45">
      <c r="A159" t="s">
        <v>46</v>
      </c>
      <c r="B159" t="s">
        <v>58</v>
      </c>
      <c r="C159" t="s">
        <v>22</v>
      </c>
      <c r="D159">
        <v>29.9961069620587</v>
      </c>
      <c r="E159">
        <v>6.9681582386465699</v>
      </c>
    </row>
    <row r="160" spans="1:5" x14ac:dyDescent="0.45">
      <c r="A160" t="s">
        <v>46</v>
      </c>
      <c r="B160" t="s">
        <v>47</v>
      </c>
      <c r="C160" t="s">
        <v>23</v>
      </c>
      <c r="D160">
        <v>1744.25144744777</v>
      </c>
      <c r="E160">
        <v>3.78421235186208</v>
      </c>
    </row>
    <row r="161" spans="1:5" x14ac:dyDescent="0.45">
      <c r="A161" t="s">
        <v>46</v>
      </c>
      <c r="B161" t="s">
        <v>48</v>
      </c>
      <c r="C161" t="s">
        <v>23</v>
      </c>
      <c r="D161">
        <v>17.599343009651601</v>
      </c>
      <c r="E161">
        <v>7.0800954909960598</v>
      </c>
    </row>
    <row r="162" spans="1:5" x14ac:dyDescent="0.45">
      <c r="A162" t="s">
        <v>46</v>
      </c>
      <c r="B162" t="s">
        <v>49</v>
      </c>
      <c r="C162" t="s">
        <v>23</v>
      </c>
      <c r="D162">
        <v>14.6565577987931</v>
      </c>
      <c r="E162">
        <v>2.7483804243613301</v>
      </c>
    </row>
    <row r="163" spans="1:5" x14ac:dyDescent="0.45">
      <c r="A163" t="s">
        <v>46</v>
      </c>
      <c r="B163" t="s">
        <v>50</v>
      </c>
      <c r="C163" t="s">
        <v>23</v>
      </c>
      <c r="D163">
        <v>1791.6886285104999</v>
      </c>
      <c r="E163">
        <v>4.3580109335111201</v>
      </c>
    </row>
    <row r="164" spans="1:5" x14ac:dyDescent="0.45">
      <c r="A164" t="s">
        <v>46</v>
      </c>
      <c r="B164" t="s">
        <v>51</v>
      </c>
      <c r="C164" t="s">
        <v>23</v>
      </c>
      <c r="D164">
        <v>1726.62331203295</v>
      </c>
      <c r="E164">
        <v>5.4030820283262901</v>
      </c>
    </row>
    <row r="165" spans="1:5" x14ac:dyDescent="0.45">
      <c r="A165" t="s">
        <v>46</v>
      </c>
      <c r="B165" t="s">
        <v>52</v>
      </c>
      <c r="C165" t="s">
        <v>23</v>
      </c>
      <c r="D165">
        <v>1770.0384653952301</v>
      </c>
      <c r="E165">
        <v>5.4763886348249002</v>
      </c>
    </row>
    <row r="166" spans="1:5" x14ac:dyDescent="0.45">
      <c r="A166" t="s">
        <v>46</v>
      </c>
      <c r="B166" t="s">
        <v>53</v>
      </c>
      <c r="C166" t="s">
        <v>23</v>
      </c>
      <c r="D166">
        <v>22.214697173209899</v>
      </c>
      <c r="E166">
        <v>3.3948999355900802</v>
      </c>
    </row>
    <row r="167" spans="1:5" x14ac:dyDescent="0.45">
      <c r="A167" t="s">
        <v>46</v>
      </c>
      <c r="B167" t="s">
        <v>54</v>
      </c>
      <c r="C167" t="s">
        <v>23</v>
      </c>
      <c r="D167">
        <v>18.448459859567201</v>
      </c>
      <c r="E167">
        <v>4.6144216901572896</v>
      </c>
    </row>
    <row r="168" spans="1:5" x14ac:dyDescent="0.45">
      <c r="A168" t="s">
        <v>46</v>
      </c>
      <c r="B168" t="s">
        <v>55</v>
      </c>
      <c r="C168" t="s">
        <v>23</v>
      </c>
      <c r="D168">
        <v>1730.9977964091299</v>
      </c>
      <c r="E168">
        <v>6.0147467471381901</v>
      </c>
    </row>
    <row r="169" spans="1:5" x14ac:dyDescent="0.45">
      <c r="A169" t="s">
        <v>46</v>
      </c>
      <c r="B169" t="s">
        <v>56</v>
      </c>
      <c r="C169" t="s">
        <v>23</v>
      </c>
      <c r="D169">
        <v>1769.14852460208</v>
      </c>
      <c r="E169">
        <v>3.9069695912432598</v>
      </c>
    </row>
    <row r="170" spans="1:5" x14ac:dyDescent="0.45">
      <c r="A170" t="s">
        <v>46</v>
      </c>
      <c r="B170" t="s">
        <v>57</v>
      </c>
      <c r="C170" t="s">
        <v>23</v>
      </c>
      <c r="D170">
        <v>18.241502724660101</v>
      </c>
      <c r="E170">
        <v>5.5060284262851598</v>
      </c>
    </row>
    <row r="171" spans="1:5" x14ac:dyDescent="0.45">
      <c r="A171" t="s">
        <v>46</v>
      </c>
      <c r="B171" t="s">
        <v>58</v>
      </c>
      <c r="C171" t="s">
        <v>23</v>
      </c>
      <c r="D171">
        <v>12.3808006632631</v>
      </c>
      <c r="E171">
        <v>5.1917609723528004</v>
      </c>
    </row>
    <row r="172" spans="1:5" x14ac:dyDescent="0.45">
      <c r="A172" t="s">
        <v>46</v>
      </c>
      <c r="B172" t="s">
        <v>47</v>
      </c>
      <c r="C172" t="s">
        <v>24</v>
      </c>
      <c r="D172">
        <v>632.35392411227099</v>
      </c>
      <c r="E172">
        <v>3.1010212819110001</v>
      </c>
    </row>
    <row r="173" spans="1:5" x14ac:dyDescent="0.45">
      <c r="A173" t="s">
        <v>46</v>
      </c>
      <c r="B173" t="s">
        <v>48</v>
      </c>
      <c r="C173" t="s">
        <v>24</v>
      </c>
      <c r="D173">
        <v>13.6813511534664</v>
      </c>
      <c r="E173">
        <v>7.3963723803461603</v>
      </c>
    </row>
    <row r="174" spans="1:5" x14ac:dyDescent="0.45">
      <c r="A174" t="s">
        <v>46</v>
      </c>
      <c r="B174" t="s">
        <v>49</v>
      </c>
      <c r="C174" t="s">
        <v>24</v>
      </c>
      <c r="D174">
        <v>5.00860865523107</v>
      </c>
      <c r="E174">
        <v>2.23733862032956</v>
      </c>
    </row>
    <row r="175" spans="1:5" x14ac:dyDescent="0.45">
      <c r="A175" t="s">
        <v>46</v>
      </c>
      <c r="B175" t="s">
        <v>50</v>
      </c>
      <c r="C175" t="s">
        <v>24</v>
      </c>
      <c r="D175">
        <v>630.41592030822801</v>
      </c>
      <c r="E175">
        <v>3.4262119251428</v>
      </c>
    </row>
    <row r="176" spans="1:5" x14ac:dyDescent="0.45">
      <c r="A176" t="s">
        <v>46</v>
      </c>
      <c r="B176" t="s">
        <v>51</v>
      </c>
      <c r="C176" t="s">
        <v>24</v>
      </c>
      <c r="D176">
        <v>638.43834861790106</v>
      </c>
      <c r="E176">
        <v>4.2427513155807901</v>
      </c>
    </row>
    <row r="177" spans="1:8" x14ac:dyDescent="0.45">
      <c r="A177" t="s">
        <v>46</v>
      </c>
      <c r="B177" t="s">
        <v>52</v>
      </c>
      <c r="C177" t="s">
        <v>24</v>
      </c>
      <c r="D177">
        <v>625.79251746385398</v>
      </c>
      <c r="E177">
        <v>4.3998243842930798</v>
      </c>
    </row>
    <row r="178" spans="1:8" x14ac:dyDescent="0.45">
      <c r="A178" t="s">
        <v>46</v>
      </c>
      <c r="B178" t="s">
        <v>53</v>
      </c>
      <c r="C178" t="s">
        <v>24</v>
      </c>
      <c r="D178">
        <v>6.2859022545651504</v>
      </c>
      <c r="E178">
        <v>5.1460658834954502</v>
      </c>
    </row>
    <row r="179" spans="1:8" x14ac:dyDescent="0.45">
      <c r="A179" t="s">
        <v>46</v>
      </c>
      <c r="B179" t="s">
        <v>54</v>
      </c>
      <c r="C179" t="s">
        <v>24</v>
      </c>
      <c r="D179">
        <v>5.7727517204289303</v>
      </c>
      <c r="E179">
        <v>3.1070226132646299</v>
      </c>
    </row>
    <row r="180" spans="1:8" x14ac:dyDescent="0.45">
      <c r="A180" t="s">
        <v>46</v>
      </c>
      <c r="B180" t="s">
        <v>55</v>
      </c>
      <c r="C180" t="s">
        <v>24</v>
      </c>
      <c r="D180">
        <v>660.34443907507205</v>
      </c>
      <c r="E180">
        <v>4.5611543584719998</v>
      </c>
    </row>
    <row r="181" spans="1:8" x14ac:dyDescent="0.45">
      <c r="A181" t="s">
        <v>46</v>
      </c>
      <c r="B181" t="s">
        <v>56</v>
      </c>
      <c r="C181" t="s">
        <v>24</v>
      </c>
      <c r="D181">
        <v>630.03634738286303</v>
      </c>
      <c r="E181">
        <v>3.03394375196536</v>
      </c>
    </row>
    <row r="182" spans="1:8" x14ac:dyDescent="0.45">
      <c r="A182" t="s">
        <v>46</v>
      </c>
      <c r="B182" t="s">
        <v>57</v>
      </c>
      <c r="C182" t="s">
        <v>24</v>
      </c>
      <c r="D182">
        <v>5.6809244931372804</v>
      </c>
      <c r="E182">
        <v>3.7424435504050901</v>
      </c>
    </row>
    <row r="183" spans="1:8" x14ac:dyDescent="0.45">
      <c r="A183" t="s">
        <v>46</v>
      </c>
      <c r="B183" t="s">
        <v>58</v>
      </c>
      <c r="C183" t="s">
        <v>24</v>
      </c>
      <c r="D183">
        <v>8.9235390021908092</v>
      </c>
      <c r="E183">
        <v>5.4813938311602302</v>
      </c>
    </row>
    <row r="185" spans="1:8" x14ac:dyDescent="0.45">
      <c r="A185" t="s">
        <v>59</v>
      </c>
    </row>
    <row r="187" spans="1:8" x14ac:dyDescent="0.45">
      <c r="A187" t="s">
        <v>1</v>
      </c>
      <c r="B187" t="s">
        <v>2</v>
      </c>
      <c r="C187" t="s">
        <v>4</v>
      </c>
      <c r="D187" t="s">
        <v>26</v>
      </c>
      <c r="E187" t="s">
        <v>27</v>
      </c>
      <c r="F187" t="s">
        <v>28</v>
      </c>
      <c r="G187" t="s">
        <v>29</v>
      </c>
      <c r="H187" t="s">
        <v>30</v>
      </c>
    </row>
    <row r="188" spans="1:8" x14ac:dyDescent="0.45">
      <c r="A188" t="s">
        <v>46</v>
      </c>
      <c r="B188" t="s">
        <v>47</v>
      </c>
      <c r="C188">
        <v>52154.416540025501</v>
      </c>
      <c r="D188">
        <v>1657</v>
      </c>
      <c r="E188">
        <v>3.1771038963274498</v>
      </c>
      <c r="F188">
        <v>3.0347143356679398</v>
      </c>
      <c r="G188">
        <v>3.0324454235323</v>
      </c>
      <c r="H188">
        <v>3.0369832478035801</v>
      </c>
    </row>
    <row r="189" spans="1:8" x14ac:dyDescent="0.45">
      <c r="A189" t="s">
        <v>46</v>
      </c>
      <c r="B189" t="s">
        <v>48</v>
      </c>
      <c r="C189">
        <v>549.79320137177797</v>
      </c>
      <c r="D189">
        <v>30</v>
      </c>
      <c r="E189">
        <v>5.4565971214535898</v>
      </c>
      <c r="F189">
        <v>5.2119161575299797</v>
      </c>
      <c r="G189">
        <v>5.1070850311605298</v>
      </c>
      <c r="H189">
        <v>5.3167472838994296</v>
      </c>
    </row>
    <row r="190" spans="1:8" x14ac:dyDescent="0.45">
      <c r="A190" t="s">
        <v>46</v>
      </c>
      <c r="B190" t="s">
        <v>49</v>
      </c>
      <c r="C190">
        <v>513.52852887394795</v>
      </c>
      <c r="D190">
        <v>10</v>
      </c>
      <c r="E190">
        <v>1.94731148081057</v>
      </c>
      <c r="F190">
        <v>1.86359330645627</v>
      </c>
      <c r="G190">
        <v>1.7922218460711801</v>
      </c>
      <c r="H190">
        <v>1.9349647668413601</v>
      </c>
    </row>
    <row r="191" spans="1:8" x14ac:dyDescent="0.45">
      <c r="A191" t="s">
        <v>46</v>
      </c>
      <c r="B191" t="s">
        <v>50</v>
      </c>
      <c r="C191">
        <v>52504.775759853801</v>
      </c>
      <c r="D191">
        <v>1930</v>
      </c>
      <c r="E191">
        <v>3.6758560951244301</v>
      </c>
      <c r="F191">
        <v>3.5116550524582499</v>
      </c>
      <c r="G191">
        <v>3.5089708628539298</v>
      </c>
      <c r="H191">
        <v>3.5143392420625799</v>
      </c>
    </row>
    <row r="192" spans="1:8" x14ac:dyDescent="0.45">
      <c r="A192" t="s">
        <v>46</v>
      </c>
      <c r="B192" t="s">
        <v>51</v>
      </c>
      <c r="C192">
        <v>52682.703239488903</v>
      </c>
      <c r="D192">
        <v>2374</v>
      </c>
      <c r="E192">
        <v>4.5062228284074504</v>
      </c>
      <c r="F192">
        <v>4.30095347859592</v>
      </c>
      <c r="G192">
        <v>4.2977182773576503</v>
      </c>
      <c r="H192">
        <v>4.3041886798342004</v>
      </c>
    </row>
    <row r="193" spans="1:8" x14ac:dyDescent="0.45">
      <c r="A193" t="s">
        <v>46</v>
      </c>
      <c r="B193" t="s">
        <v>52</v>
      </c>
      <c r="C193">
        <v>52670.082039256602</v>
      </c>
      <c r="D193">
        <v>2454</v>
      </c>
      <c r="E193">
        <v>4.6591915276892104</v>
      </c>
      <c r="F193">
        <v>4.44751206388566</v>
      </c>
      <c r="G193">
        <v>4.4441224539297703</v>
      </c>
      <c r="H193">
        <v>4.4509016738415603</v>
      </c>
    </row>
    <row r="194" spans="1:8" x14ac:dyDescent="0.45">
      <c r="A194" t="s">
        <v>46</v>
      </c>
      <c r="B194" t="s">
        <v>53</v>
      </c>
      <c r="C194">
        <v>554.42173607871405</v>
      </c>
      <c r="D194">
        <v>22</v>
      </c>
      <c r="E194">
        <v>3.9680983930392899</v>
      </c>
      <c r="F194">
        <v>3.7643894390093098</v>
      </c>
      <c r="G194">
        <v>3.6783496695198199</v>
      </c>
      <c r="H194">
        <v>3.8504292084988099</v>
      </c>
    </row>
    <row r="195" spans="1:8" x14ac:dyDescent="0.45">
      <c r="A195" t="s">
        <v>46</v>
      </c>
      <c r="B195" t="s">
        <v>54</v>
      </c>
      <c r="C195">
        <v>514.56143284681002</v>
      </c>
      <c r="D195">
        <v>22</v>
      </c>
      <c r="E195">
        <v>4.2754856068953799</v>
      </c>
      <c r="F195">
        <v>4.0755720831467102</v>
      </c>
      <c r="G195">
        <v>3.97972433290535</v>
      </c>
      <c r="H195">
        <v>4.1714198333880699</v>
      </c>
    </row>
    <row r="196" spans="1:8" x14ac:dyDescent="0.45">
      <c r="A196" t="s">
        <v>46</v>
      </c>
      <c r="B196" t="s">
        <v>55</v>
      </c>
      <c r="C196">
        <v>52234.345152820802</v>
      </c>
      <c r="D196">
        <v>2594</v>
      </c>
      <c r="E196">
        <v>4.9660812103814003</v>
      </c>
      <c r="F196">
        <v>4.7396833901181701</v>
      </c>
      <c r="G196">
        <v>4.7363202639370199</v>
      </c>
      <c r="H196">
        <v>4.7430465162993096</v>
      </c>
    </row>
    <row r="197" spans="1:8" x14ac:dyDescent="0.45">
      <c r="A197" t="s">
        <v>46</v>
      </c>
      <c r="B197" t="s">
        <v>56</v>
      </c>
      <c r="C197">
        <v>52176.858243645001</v>
      </c>
      <c r="D197">
        <v>1714</v>
      </c>
      <c r="E197">
        <v>3.2849812305607</v>
      </c>
      <c r="F197">
        <v>3.13814656981685</v>
      </c>
      <c r="G197">
        <v>3.1358374317484499</v>
      </c>
      <c r="H197">
        <v>3.1404557078852502</v>
      </c>
    </row>
    <row r="198" spans="1:8" x14ac:dyDescent="0.45">
      <c r="A198" t="s">
        <v>46</v>
      </c>
      <c r="B198" t="s">
        <v>57</v>
      </c>
      <c r="C198">
        <v>524.82580552718798</v>
      </c>
      <c r="D198">
        <v>17</v>
      </c>
      <c r="E198">
        <v>3.2391699914457299</v>
      </c>
      <c r="F198">
        <v>3.1210075523813301</v>
      </c>
      <c r="G198">
        <v>3.0383062250463899</v>
      </c>
      <c r="H198">
        <v>3.2037088797162698</v>
      </c>
    </row>
    <row r="199" spans="1:8" x14ac:dyDescent="0.45">
      <c r="A199" t="s">
        <v>46</v>
      </c>
      <c r="B199" t="s">
        <v>58</v>
      </c>
      <c r="C199">
        <v>507.16798694977501</v>
      </c>
      <c r="D199">
        <v>26</v>
      </c>
      <c r="E199">
        <v>5.1265065361025597</v>
      </c>
      <c r="F199">
        <v>4.8894011922655896</v>
      </c>
      <c r="G199">
        <v>4.78017440511928</v>
      </c>
      <c r="H199">
        <v>4.9986279794118902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1"/>
  <sheetViews>
    <sheetView workbookViewId="0"/>
  </sheetViews>
  <sheetFormatPr baseColWidth="10" defaultRowHeight="14.25" x14ac:dyDescent="0.45"/>
  <sheetData>
    <row r="1" spans="1:5" x14ac:dyDescent="0.45">
      <c r="A1" t="s">
        <v>60</v>
      </c>
    </row>
    <row r="3" spans="1:5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45">
      <c r="A4" t="s">
        <v>61</v>
      </c>
      <c r="B4" t="s">
        <v>62</v>
      </c>
      <c r="C4" t="s">
        <v>8</v>
      </c>
      <c r="D4">
        <v>1275.3943515180799</v>
      </c>
      <c r="E4">
        <v>2.8253398546890498</v>
      </c>
    </row>
    <row r="5" spans="1:5" x14ac:dyDescent="0.45">
      <c r="A5" t="s">
        <v>61</v>
      </c>
      <c r="B5" t="s">
        <v>63</v>
      </c>
      <c r="C5" t="s">
        <v>8</v>
      </c>
      <c r="D5">
        <v>1293.11815805316</v>
      </c>
      <c r="E5">
        <v>3.0214605289618599</v>
      </c>
    </row>
    <row r="6" spans="1:5" x14ac:dyDescent="0.45">
      <c r="A6" t="s">
        <v>61</v>
      </c>
      <c r="B6" t="s">
        <v>64</v>
      </c>
      <c r="C6" t="s">
        <v>8</v>
      </c>
      <c r="D6">
        <v>1318.6357604521299</v>
      </c>
      <c r="E6">
        <v>4.0955090585813396</v>
      </c>
    </row>
    <row r="7" spans="1:5" x14ac:dyDescent="0.45">
      <c r="A7" t="s">
        <v>61</v>
      </c>
      <c r="B7" t="s">
        <v>65</v>
      </c>
      <c r="C7" t="s">
        <v>8</v>
      </c>
      <c r="D7">
        <v>1241.7953020044399</v>
      </c>
      <c r="E7">
        <v>3.6386876257746601</v>
      </c>
    </row>
    <row r="8" spans="1:5" x14ac:dyDescent="0.45">
      <c r="A8" t="s">
        <v>61</v>
      </c>
      <c r="B8" t="s">
        <v>62</v>
      </c>
      <c r="C8" t="s">
        <v>11</v>
      </c>
      <c r="D8">
        <v>2597.2463847900299</v>
      </c>
      <c r="E8">
        <v>2.7913962473472802</v>
      </c>
    </row>
    <row r="9" spans="1:5" x14ac:dyDescent="0.45">
      <c r="A9" t="s">
        <v>61</v>
      </c>
      <c r="B9" t="s">
        <v>63</v>
      </c>
      <c r="C9" t="s">
        <v>11</v>
      </c>
      <c r="D9">
        <v>2727.9628942373101</v>
      </c>
      <c r="E9">
        <v>2.9833932964466898</v>
      </c>
    </row>
    <row r="10" spans="1:5" x14ac:dyDescent="0.45">
      <c r="A10" t="s">
        <v>61</v>
      </c>
      <c r="B10" t="s">
        <v>64</v>
      </c>
      <c r="C10" t="s">
        <v>11</v>
      </c>
      <c r="D10">
        <v>2523.5888857008099</v>
      </c>
      <c r="E10">
        <v>3.98106189058959</v>
      </c>
    </row>
    <row r="11" spans="1:5" x14ac:dyDescent="0.45">
      <c r="A11" t="s">
        <v>61</v>
      </c>
      <c r="B11" t="s">
        <v>65</v>
      </c>
      <c r="C11" t="s">
        <v>11</v>
      </c>
      <c r="D11">
        <v>2656.8839313276499</v>
      </c>
      <c r="E11">
        <v>3.6404302957141401</v>
      </c>
    </row>
    <row r="12" spans="1:5" x14ac:dyDescent="0.45">
      <c r="A12" t="s">
        <v>61</v>
      </c>
      <c r="B12" t="s">
        <v>62</v>
      </c>
      <c r="C12" t="s">
        <v>12</v>
      </c>
      <c r="D12">
        <v>4004.7352365320598</v>
      </c>
      <c r="E12">
        <v>2.7749108682199402</v>
      </c>
    </row>
    <row r="13" spans="1:5" x14ac:dyDescent="0.45">
      <c r="A13" t="s">
        <v>61</v>
      </c>
      <c r="B13" t="s">
        <v>63</v>
      </c>
      <c r="C13" t="s">
        <v>12</v>
      </c>
      <c r="D13">
        <v>3995.0570808560901</v>
      </c>
      <c r="E13">
        <v>2.9962795376255098</v>
      </c>
    </row>
    <row r="14" spans="1:5" x14ac:dyDescent="0.45">
      <c r="A14" t="s">
        <v>61</v>
      </c>
      <c r="B14" t="s">
        <v>64</v>
      </c>
      <c r="C14" t="s">
        <v>12</v>
      </c>
      <c r="D14">
        <v>4038.9845175709002</v>
      </c>
      <c r="E14">
        <v>3.9123306885259099</v>
      </c>
    </row>
    <row r="15" spans="1:5" x14ac:dyDescent="0.45">
      <c r="A15" t="s">
        <v>61</v>
      </c>
      <c r="B15" t="s">
        <v>65</v>
      </c>
      <c r="C15" t="s">
        <v>12</v>
      </c>
      <c r="D15">
        <v>4049.66106387639</v>
      </c>
      <c r="E15">
        <v>3.5812696035265201</v>
      </c>
    </row>
    <row r="16" spans="1:5" x14ac:dyDescent="0.45">
      <c r="A16" t="s">
        <v>61</v>
      </c>
      <c r="B16" t="s">
        <v>62</v>
      </c>
      <c r="C16" t="s">
        <v>13</v>
      </c>
      <c r="D16">
        <v>5459.4512489684003</v>
      </c>
      <c r="E16">
        <v>2.6883986712921399</v>
      </c>
    </row>
    <row r="17" spans="1:5" x14ac:dyDescent="0.45">
      <c r="A17" t="s">
        <v>61</v>
      </c>
      <c r="B17" t="s">
        <v>63</v>
      </c>
      <c r="C17" t="s">
        <v>13</v>
      </c>
      <c r="D17">
        <v>5448.9826142605598</v>
      </c>
      <c r="E17">
        <v>2.9066710272986298</v>
      </c>
    </row>
    <row r="18" spans="1:5" x14ac:dyDescent="0.45">
      <c r="A18" t="s">
        <v>61</v>
      </c>
      <c r="B18" t="s">
        <v>64</v>
      </c>
      <c r="C18" t="s">
        <v>13</v>
      </c>
      <c r="D18">
        <v>5458.0010916176998</v>
      </c>
      <c r="E18">
        <v>3.92913014145239</v>
      </c>
    </row>
    <row r="19" spans="1:5" x14ac:dyDescent="0.45">
      <c r="A19" t="s">
        <v>61</v>
      </c>
      <c r="B19" t="s">
        <v>65</v>
      </c>
      <c r="C19" t="s">
        <v>13</v>
      </c>
      <c r="D19">
        <v>5440.7503743035604</v>
      </c>
      <c r="E19">
        <v>3.6712715125309501</v>
      </c>
    </row>
    <row r="20" spans="1:5" x14ac:dyDescent="0.45">
      <c r="A20" t="s">
        <v>61</v>
      </c>
      <c r="B20" t="s">
        <v>62</v>
      </c>
      <c r="C20" t="s">
        <v>14</v>
      </c>
      <c r="D20">
        <v>6894.2033699520198</v>
      </c>
      <c r="E20">
        <v>2.8576582402803798</v>
      </c>
    </row>
    <row r="21" spans="1:5" x14ac:dyDescent="0.45">
      <c r="A21" t="s">
        <v>61</v>
      </c>
      <c r="B21" t="s">
        <v>63</v>
      </c>
      <c r="C21" t="s">
        <v>14</v>
      </c>
      <c r="D21">
        <v>6824.9039792491803</v>
      </c>
      <c r="E21">
        <v>3.1250817102008699</v>
      </c>
    </row>
    <row r="22" spans="1:5" x14ac:dyDescent="0.45">
      <c r="A22" t="s">
        <v>61</v>
      </c>
      <c r="B22" t="s">
        <v>64</v>
      </c>
      <c r="C22" t="s">
        <v>14</v>
      </c>
      <c r="D22">
        <v>6807.9759443243502</v>
      </c>
      <c r="E22">
        <v>4.1317324655826999</v>
      </c>
    </row>
    <row r="23" spans="1:5" x14ac:dyDescent="0.45">
      <c r="A23" t="s">
        <v>61</v>
      </c>
      <c r="B23" t="s">
        <v>65</v>
      </c>
      <c r="C23" t="s">
        <v>14</v>
      </c>
      <c r="D23">
        <v>6763.8898733934302</v>
      </c>
      <c r="E23">
        <v>3.8574442926115098</v>
      </c>
    </row>
    <row r="24" spans="1:5" x14ac:dyDescent="0.45">
      <c r="A24" t="s">
        <v>61</v>
      </c>
      <c r="B24" t="s">
        <v>62</v>
      </c>
      <c r="C24" t="s">
        <v>15</v>
      </c>
      <c r="D24">
        <v>7086.7027314197203</v>
      </c>
      <c r="E24">
        <v>2.8711270951489598</v>
      </c>
    </row>
    <row r="25" spans="1:5" x14ac:dyDescent="0.45">
      <c r="A25" t="s">
        <v>61</v>
      </c>
      <c r="B25" t="s">
        <v>63</v>
      </c>
      <c r="C25" t="s">
        <v>15</v>
      </c>
      <c r="D25">
        <v>7001.9562837364601</v>
      </c>
      <c r="E25">
        <v>3.1550783958500999</v>
      </c>
    </row>
    <row r="26" spans="1:5" x14ac:dyDescent="0.45">
      <c r="A26" t="s">
        <v>61</v>
      </c>
      <c r="B26" t="s">
        <v>64</v>
      </c>
      <c r="C26" t="s">
        <v>15</v>
      </c>
      <c r="D26">
        <v>6965.0283920911497</v>
      </c>
      <c r="E26">
        <v>4.1770200818610403</v>
      </c>
    </row>
    <row r="27" spans="1:5" x14ac:dyDescent="0.45">
      <c r="A27" t="s">
        <v>61</v>
      </c>
      <c r="B27" t="s">
        <v>65</v>
      </c>
      <c r="C27" t="s">
        <v>15</v>
      </c>
      <c r="D27">
        <v>7227.8387813521604</v>
      </c>
      <c r="E27">
        <v>3.8998556393199602</v>
      </c>
    </row>
    <row r="28" spans="1:5" x14ac:dyDescent="0.45">
      <c r="A28" t="s">
        <v>61</v>
      </c>
      <c r="B28" t="s">
        <v>62</v>
      </c>
      <c r="C28" t="s">
        <v>16</v>
      </c>
      <c r="D28">
        <v>7523.8928669569696</v>
      </c>
      <c r="E28">
        <v>2.9115509956299599</v>
      </c>
    </row>
    <row r="29" spans="1:5" x14ac:dyDescent="0.45">
      <c r="A29" t="s">
        <v>61</v>
      </c>
      <c r="B29" t="s">
        <v>63</v>
      </c>
      <c r="C29" t="s">
        <v>16</v>
      </c>
      <c r="D29">
        <v>7326.14117927598</v>
      </c>
      <c r="E29">
        <v>3.2241847895576501</v>
      </c>
    </row>
    <row r="30" spans="1:5" x14ac:dyDescent="0.45">
      <c r="A30" t="s">
        <v>61</v>
      </c>
      <c r="B30" t="s">
        <v>64</v>
      </c>
      <c r="C30" t="s">
        <v>16</v>
      </c>
      <c r="D30">
        <v>7311.6431659535401</v>
      </c>
      <c r="E30">
        <v>4.1963280288314397</v>
      </c>
    </row>
    <row r="31" spans="1:5" x14ac:dyDescent="0.45">
      <c r="A31" t="s">
        <v>61</v>
      </c>
      <c r="B31" t="s">
        <v>65</v>
      </c>
      <c r="C31" t="s">
        <v>16</v>
      </c>
      <c r="D31">
        <v>7430.5568583664699</v>
      </c>
      <c r="E31">
        <v>3.9339839982117999</v>
      </c>
    </row>
    <row r="32" spans="1:5" x14ac:dyDescent="0.45">
      <c r="A32" t="s">
        <v>61</v>
      </c>
      <c r="B32" t="s">
        <v>62</v>
      </c>
      <c r="C32" t="s">
        <v>17</v>
      </c>
      <c r="D32">
        <v>7964.3342356435596</v>
      </c>
      <c r="E32">
        <v>2.9328240237219698</v>
      </c>
    </row>
    <row r="33" spans="1:5" x14ac:dyDescent="0.45">
      <c r="A33" t="s">
        <v>61</v>
      </c>
      <c r="B33" t="s">
        <v>63</v>
      </c>
      <c r="C33" t="s">
        <v>17</v>
      </c>
      <c r="D33">
        <v>7807.0605370081403</v>
      </c>
      <c r="E33">
        <v>3.2318125279521301</v>
      </c>
    </row>
    <row r="34" spans="1:5" x14ac:dyDescent="0.45">
      <c r="A34" t="s">
        <v>61</v>
      </c>
      <c r="B34" t="s">
        <v>64</v>
      </c>
      <c r="C34" t="s">
        <v>17</v>
      </c>
      <c r="D34">
        <v>7976.8637353837803</v>
      </c>
      <c r="E34">
        <v>4.2052789379317801</v>
      </c>
    </row>
    <row r="35" spans="1:5" x14ac:dyDescent="0.45">
      <c r="A35" t="s">
        <v>61</v>
      </c>
      <c r="B35" t="s">
        <v>65</v>
      </c>
      <c r="C35" t="s">
        <v>17</v>
      </c>
      <c r="D35">
        <v>7906.4085066684902</v>
      </c>
      <c r="E35">
        <v>3.9322236586177599</v>
      </c>
    </row>
    <row r="36" spans="1:5" x14ac:dyDescent="0.45">
      <c r="A36" t="s">
        <v>61</v>
      </c>
      <c r="B36" t="s">
        <v>62</v>
      </c>
      <c r="C36" t="s">
        <v>18</v>
      </c>
      <c r="D36">
        <v>7983.1729276301103</v>
      </c>
      <c r="E36">
        <v>3.4620014363078702</v>
      </c>
    </row>
    <row r="37" spans="1:5" x14ac:dyDescent="0.45">
      <c r="A37" t="s">
        <v>61</v>
      </c>
      <c r="B37" t="s">
        <v>63</v>
      </c>
      <c r="C37" t="s">
        <v>18</v>
      </c>
      <c r="D37">
        <v>7921.8008326966601</v>
      </c>
      <c r="E37">
        <v>3.7529761914473001</v>
      </c>
    </row>
    <row r="38" spans="1:5" x14ac:dyDescent="0.45">
      <c r="A38" t="s">
        <v>61</v>
      </c>
      <c r="B38" t="s">
        <v>64</v>
      </c>
      <c r="C38" t="s">
        <v>18</v>
      </c>
      <c r="D38">
        <v>8038.4228381836201</v>
      </c>
      <c r="E38">
        <v>4.9450308215172498</v>
      </c>
    </row>
    <row r="39" spans="1:5" x14ac:dyDescent="0.45">
      <c r="A39" t="s">
        <v>61</v>
      </c>
      <c r="B39" t="s">
        <v>65</v>
      </c>
      <c r="C39" t="s">
        <v>18</v>
      </c>
      <c r="D39">
        <v>7835.8258348401596</v>
      </c>
      <c r="E39">
        <v>4.5781432735963898</v>
      </c>
    </row>
    <row r="40" spans="1:5" x14ac:dyDescent="0.45">
      <c r="A40" t="s">
        <v>61</v>
      </c>
      <c r="B40" t="s">
        <v>62</v>
      </c>
      <c r="C40" t="s">
        <v>19</v>
      </c>
      <c r="D40">
        <v>7804.37247203073</v>
      </c>
      <c r="E40">
        <v>3.5492464502524999</v>
      </c>
    </row>
    <row r="41" spans="1:5" x14ac:dyDescent="0.45">
      <c r="A41" t="s">
        <v>61</v>
      </c>
      <c r="B41" t="s">
        <v>63</v>
      </c>
      <c r="C41" t="s">
        <v>19</v>
      </c>
      <c r="D41">
        <v>7794.9771943263804</v>
      </c>
      <c r="E41">
        <v>3.7802389927623601</v>
      </c>
    </row>
    <row r="42" spans="1:5" x14ac:dyDescent="0.45">
      <c r="A42" t="s">
        <v>61</v>
      </c>
      <c r="B42" t="s">
        <v>64</v>
      </c>
      <c r="C42" t="s">
        <v>19</v>
      </c>
      <c r="D42">
        <v>7802.1899957810101</v>
      </c>
      <c r="E42">
        <v>5.0249711545588998</v>
      </c>
    </row>
    <row r="43" spans="1:5" x14ac:dyDescent="0.45">
      <c r="A43" t="s">
        <v>61</v>
      </c>
      <c r="B43" t="s">
        <v>65</v>
      </c>
      <c r="C43" t="s">
        <v>19</v>
      </c>
      <c r="D43">
        <v>7805.5646100533404</v>
      </c>
      <c r="E43">
        <v>4.6855939531570803</v>
      </c>
    </row>
    <row r="44" spans="1:5" x14ac:dyDescent="0.45">
      <c r="A44" t="s">
        <v>61</v>
      </c>
      <c r="B44" t="s">
        <v>62</v>
      </c>
      <c r="C44" t="s">
        <v>20</v>
      </c>
      <c r="D44">
        <v>7383.1274266586097</v>
      </c>
      <c r="E44">
        <v>3.45325985461962</v>
      </c>
    </row>
    <row r="45" spans="1:5" x14ac:dyDescent="0.45">
      <c r="A45" t="s">
        <v>61</v>
      </c>
      <c r="B45" t="s">
        <v>63</v>
      </c>
      <c r="C45" t="s">
        <v>20</v>
      </c>
      <c r="D45">
        <v>7292.4528028599898</v>
      </c>
      <c r="E45">
        <v>3.68266234908402</v>
      </c>
    </row>
    <row r="46" spans="1:5" x14ac:dyDescent="0.45">
      <c r="A46" t="s">
        <v>61</v>
      </c>
      <c r="B46" t="s">
        <v>64</v>
      </c>
      <c r="C46" t="s">
        <v>20</v>
      </c>
      <c r="D46">
        <v>7381.3761750052599</v>
      </c>
      <c r="E46">
        <v>4.8930388800320896</v>
      </c>
    </row>
    <row r="47" spans="1:5" x14ac:dyDescent="0.45">
      <c r="A47" t="s">
        <v>61</v>
      </c>
      <c r="B47" t="s">
        <v>65</v>
      </c>
      <c r="C47" t="s">
        <v>20</v>
      </c>
      <c r="D47">
        <v>7213.7224920270801</v>
      </c>
      <c r="E47">
        <v>4.5031506060049198</v>
      </c>
    </row>
    <row r="48" spans="1:5" x14ac:dyDescent="0.45">
      <c r="A48" t="s">
        <v>61</v>
      </c>
      <c r="B48" t="s">
        <v>62</v>
      </c>
      <c r="C48" t="s">
        <v>21</v>
      </c>
      <c r="D48">
        <v>5862.4775697407804</v>
      </c>
      <c r="E48">
        <v>3.39559654740113</v>
      </c>
    </row>
    <row r="49" spans="1:5" x14ac:dyDescent="0.45">
      <c r="A49" t="s">
        <v>61</v>
      </c>
      <c r="B49" t="s">
        <v>63</v>
      </c>
      <c r="C49" t="s">
        <v>21</v>
      </c>
      <c r="D49">
        <v>5987.1149629316496</v>
      </c>
      <c r="E49">
        <v>3.6940011490270099</v>
      </c>
    </row>
    <row r="50" spans="1:5" x14ac:dyDescent="0.45">
      <c r="A50" t="s">
        <v>61</v>
      </c>
      <c r="B50" t="s">
        <v>64</v>
      </c>
      <c r="C50" t="s">
        <v>21</v>
      </c>
      <c r="D50">
        <v>5852.9174291276604</v>
      </c>
      <c r="E50">
        <v>4.8302500121860099</v>
      </c>
    </row>
    <row r="51" spans="1:5" x14ac:dyDescent="0.45">
      <c r="A51" t="s">
        <v>61</v>
      </c>
      <c r="B51" t="s">
        <v>65</v>
      </c>
      <c r="C51" t="s">
        <v>21</v>
      </c>
      <c r="D51">
        <v>5799.7818066425298</v>
      </c>
      <c r="E51">
        <v>4.4453351340295999</v>
      </c>
    </row>
    <row r="52" spans="1:5" x14ac:dyDescent="0.45">
      <c r="A52" t="s">
        <v>61</v>
      </c>
      <c r="B52" t="s">
        <v>62</v>
      </c>
      <c r="C52" t="s">
        <v>22</v>
      </c>
      <c r="D52">
        <v>4395.6027358217798</v>
      </c>
      <c r="E52">
        <v>4.1628707095135402</v>
      </c>
    </row>
    <row r="53" spans="1:5" x14ac:dyDescent="0.45">
      <c r="A53" t="s">
        <v>61</v>
      </c>
      <c r="B53" t="s">
        <v>63</v>
      </c>
      <c r="C53" t="s">
        <v>22</v>
      </c>
      <c r="D53">
        <v>4202.33400090533</v>
      </c>
      <c r="E53">
        <v>4.5032049612701996</v>
      </c>
    </row>
    <row r="54" spans="1:5" x14ac:dyDescent="0.45">
      <c r="A54" t="s">
        <v>61</v>
      </c>
      <c r="B54" t="s">
        <v>64</v>
      </c>
      <c r="C54" t="s">
        <v>22</v>
      </c>
      <c r="D54">
        <v>4158.4561328770696</v>
      </c>
      <c r="E54">
        <v>6.09299248966646</v>
      </c>
    </row>
    <row r="55" spans="1:5" x14ac:dyDescent="0.45">
      <c r="A55" t="s">
        <v>61</v>
      </c>
      <c r="B55" t="s">
        <v>65</v>
      </c>
      <c r="C55" t="s">
        <v>22</v>
      </c>
      <c r="D55">
        <v>4223.11597988834</v>
      </c>
      <c r="E55">
        <v>5.6645177357523702</v>
      </c>
    </row>
    <row r="56" spans="1:5" x14ac:dyDescent="0.45">
      <c r="A56" t="s">
        <v>61</v>
      </c>
      <c r="B56" t="s">
        <v>62</v>
      </c>
      <c r="C56" t="s">
        <v>23</v>
      </c>
      <c r="D56">
        <v>2599.5396044374202</v>
      </c>
      <c r="E56">
        <v>4.005733850985</v>
      </c>
    </row>
    <row r="57" spans="1:5" x14ac:dyDescent="0.45">
      <c r="A57" t="s">
        <v>61</v>
      </c>
      <c r="B57" t="s">
        <v>63</v>
      </c>
      <c r="C57" t="s">
        <v>23</v>
      </c>
      <c r="D57">
        <v>2676.5225380066599</v>
      </c>
      <c r="E57">
        <v>4.2903297400879801</v>
      </c>
    </row>
    <row r="58" spans="1:5" x14ac:dyDescent="0.45">
      <c r="A58" t="s">
        <v>61</v>
      </c>
      <c r="B58" t="s">
        <v>64</v>
      </c>
      <c r="C58" t="s">
        <v>23</v>
      </c>
      <c r="D58">
        <v>2714.0006918650001</v>
      </c>
      <c r="E58">
        <v>5.6385359383665596</v>
      </c>
    </row>
    <row r="59" spans="1:5" x14ac:dyDescent="0.45">
      <c r="A59" t="s">
        <v>61</v>
      </c>
      <c r="B59" t="s">
        <v>65</v>
      </c>
      <c r="C59" t="s">
        <v>23</v>
      </c>
      <c r="D59">
        <v>2646.2267013177202</v>
      </c>
      <c r="E59">
        <v>5.30785048123143</v>
      </c>
    </row>
    <row r="60" spans="1:5" x14ac:dyDescent="0.45">
      <c r="A60" t="s">
        <v>61</v>
      </c>
      <c r="B60" t="s">
        <v>62</v>
      </c>
      <c r="C60" t="s">
        <v>24</v>
      </c>
      <c r="D60">
        <v>946.341236568412</v>
      </c>
      <c r="E60">
        <v>3.07789764818085</v>
      </c>
    </row>
    <row r="61" spans="1:5" x14ac:dyDescent="0.45">
      <c r="A61" t="s">
        <v>61</v>
      </c>
      <c r="B61" t="s">
        <v>63</v>
      </c>
      <c r="C61" t="s">
        <v>24</v>
      </c>
      <c r="D61">
        <v>978.90229742654401</v>
      </c>
      <c r="E61">
        <v>3.43160744741588</v>
      </c>
    </row>
    <row r="62" spans="1:5" x14ac:dyDescent="0.45">
      <c r="A62" t="s">
        <v>61</v>
      </c>
      <c r="B62" t="s">
        <v>64</v>
      </c>
      <c r="C62" t="s">
        <v>24</v>
      </c>
      <c r="D62">
        <v>1011.85687328513</v>
      </c>
      <c r="E62">
        <v>4.4511326347669202</v>
      </c>
    </row>
    <row r="63" spans="1:5" x14ac:dyDescent="0.45">
      <c r="A63" t="s">
        <v>61</v>
      </c>
      <c r="B63" t="s">
        <v>65</v>
      </c>
      <c r="C63" t="s">
        <v>24</v>
      </c>
      <c r="D63">
        <v>925.63416695911906</v>
      </c>
      <c r="E63">
        <v>4.2818412908441799</v>
      </c>
    </row>
    <row r="65" spans="1:8" x14ac:dyDescent="0.45">
      <c r="A65" t="s">
        <v>66</v>
      </c>
    </row>
    <row r="67" spans="1:8" x14ac:dyDescent="0.45">
      <c r="A67" t="s">
        <v>1</v>
      </c>
      <c r="B67" t="s">
        <v>2</v>
      </c>
      <c r="C67" t="s">
        <v>4</v>
      </c>
      <c r="D67" t="s">
        <v>26</v>
      </c>
      <c r="E67" t="s">
        <v>27</v>
      </c>
      <c r="F67" t="s">
        <v>28</v>
      </c>
      <c r="G67" t="s">
        <v>29</v>
      </c>
      <c r="H67" t="s">
        <v>30</v>
      </c>
    </row>
    <row r="68" spans="1:8" x14ac:dyDescent="0.45">
      <c r="A68" t="s">
        <v>61</v>
      </c>
      <c r="B68" t="s">
        <v>62</v>
      </c>
      <c r="C68">
        <v>79780.594398668705</v>
      </c>
      <c r="D68">
        <v>2661</v>
      </c>
      <c r="E68">
        <v>3.33539756134532</v>
      </c>
      <c r="F68">
        <v>3.1877377900155102</v>
      </c>
      <c r="G68">
        <v>3.1856382917755202</v>
      </c>
      <c r="H68">
        <v>3.1898372882555002</v>
      </c>
    </row>
    <row r="69" spans="1:8" x14ac:dyDescent="0.45">
      <c r="A69" t="s">
        <v>61</v>
      </c>
      <c r="B69" t="s">
        <v>63</v>
      </c>
      <c r="C69">
        <v>79279.287355830107</v>
      </c>
      <c r="D69">
        <v>2870</v>
      </c>
      <c r="E69">
        <v>3.6201132675657699</v>
      </c>
      <c r="F69">
        <v>3.4569167138921499</v>
      </c>
      <c r="G69">
        <v>3.45463411586092</v>
      </c>
      <c r="H69">
        <v>3.4591993119233799</v>
      </c>
    </row>
    <row r="70" spans="1:8" x14ac:dyDescent="0.45">
      <c r="A70" t="s">
        <v>61</v>
      </c>
      <c r="B70" t="s">
        <v>64</v>
      </c>
      <c r="C70">
        <v>79359.941629219102</v>
      </c>
      <c r="D70">
        <v>3798</v>
      </c>
      <c r="E70">
        <v>4.7857898103615</v>
      </c>
      <c r="F70">
        <v>4.5694547453016803</v>
      </c>
      <c r="G70">
        <v>4.5666018760949099</v>
      </c>
      <c r="H70">
        <v>4.5723076145084498</v>
      </c>
    </row>
    <row r="71" spans="1:8" x14ac:dyDescent="0.45">
      <c r="A71" t="s">
        <v>61</v>
      </c>
      <c r="B71" t="s">
        <v>65</v>
      </c>
      <c r="C71">
        <v>79167.6562830209</v>
      </c>
      <c r="D71">
        <v>3521</v>
      </c>
      <c r="E71">
        <v>4.4475233514714398</v>
      </c>
      <c r="F71">
        <v>4.2430613484753801</v>
      </c>
      <c r="G71">
        <v>4.24045952354252</v>
      </c>
      <c r="H71">
        <v>4.2456631734082499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9"/>
  <sheetViews>
    <sheetView workbookViewId="0"/>
  </sheetViews>
  <sheetFormatPr baseColWidth="10" defaultRowHeight="14.25" x14ac:dyDescent="0.45"/>
  <sheetData>
    <row r="1" spans="1:5" x14ac:dyDescent="0.45">
      <c r="A1" t="s">
        <v>67</v>
      </c>
    </row>
    <row r="3" spans="1:5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45">
      <c r="A4" t="s">
        <v>68</v>
      </c>
      <c r="B4" t="s">
        <v>69</v>
      </c>
      <c r="C4" t="s">
        <v>8</v>
      </c>
      <c r="D4">
        <v>1775.09944021655</v>
      </c>
      <c r="E4">
        <v>3.9108918377472901</v>
      </c>
    </row>
    <row r="5" spans="1:5" x14ac:dyDescent="0.45">
      <c r="A5" t="s">
        <v>68</v>
      </c>
      <c r="B5" t="s">
        <v>70</v>
      </c>
      <c r="C5" t="s">
        <v>8</v>
      </c>
      <c r="D5">
        <v>3353.84413181127</v>
      </c>
      <c r="E5">
        <v>3.1269479267911202</v>
      </c>
    </row>
    <row r="6" spans="1:5" x14ac:dyDescent="0.45">
      <c r="A6" t="s">
        <v>68</v>
      </c>
      <c r="B6" t="s">
        <v>69</v>
      </c>
      <c r="C6" t="s">
        <v>11</v>
      </c>
      <c r="D6">
        <v>3602.0625186827401</v>
      </c>
      <c r="E6">
        <v>3.8576145676947999</v>
      </c>
    </row>
    <row r="7" spans="1:5" x14ac:dyDescent="0.45">
      <c r="A7" t="s">
        <v>68</v>
      </c>
      <c r="B7" t="s">
        <v>70</v>
      </c>
      <c r="C7" t="s">
        <v>11</v>
      </c>
      <c r="D7">
        <v>6903.6195773730597</v>
      </c>
      <c r="E7">
        <v>3.0725802944657299</v>
      </c>
    </row>
    <row r="8" spans="1:5" x14ac:dyDescent="0.45">
      <c r="A8" t="s">
        <v>68</v>
      </c>
      <c r="B8" t="s">
        <v>69</v>
      </c>
      <c r="C8" t="s">
        <v>12</v>
      </c>
      <c r="D8">
        <v>5609.9999846917899</v>
      </c>
      <c r="E8">
        <v>3.8304215077188899</v>
      </c>
    </row>
    <row r="9" spans="1:5" x14ac:dyDescent="0.45">
      <c r="A9" t="s">
        <v>68</v>
      </c>
      <c r="B9" t="s">
        <v>70</v>
      </c>
      <c r="C9" t="s">
        <v>12</v>
      </c>
      <c r="D9">
        <v>10478.4379141437</v>
      </c>
      <c r="E9">
        <v>3.04427033190768</v>
      </c>
    </row>
    <row r="10" spans="1:5" x14ac:dyDescent="0.45">
      <c r="A10" t="s">
        <v>68</v>
      </c>
      <c r="B10" t="s">
        <v>69</v>
      </c>
      <c r="C10" t="s">
        <v>13</v>
      </c>
      <c r="D10">
        <v>7645.4457684826502</v>
      </c>
      <c r="E10">
        <v>3.7996083073940001</v>
      </c>
    </row>
    <row r="11" spans="1:5" x14ac:dyDescent="0.45">
      <c r="A11" t="s">
        <v>68</v>
      </c>
      <c r="B11" t="s">
        <v>70</v>
      </c>
      <c r="C11" t="s">
        <v>13</v>
      </c>
      <c r="D11">
        <v>14161.7395606676</v>
      </c>
      <c r="E11">
        <v>3.0282685537740002</v>
      </c>
    </row>
    <row r="12" spans="1:5" x14ac:dyDescent="0.45">
      <c r="A12" t="s">
        <v>68</v>
      </c>
      <c r="B12" t="s">
        <v>69</v>
      </c>
      <c r="C12" t="s">
        <v>14</v>
      </c>
      <c r="D12">
        <v>9609.6447309983596</v>
      </c>
      <c r="E12">
        <v>4.0065619411040396</v>
      </c>
    </row>
    <row r="13" spans="1:5" x14ac:dyDescent="0.45">
      <c r="A13" t="s">
        <v>68</v>
      </c>
      <c r="B13" t="s">
        <v>70</v>
      </c>
      <c r="C13" t="s">
        <v>14</v>
      </c>
      <c r="D13">
        <v>17681.328435920601</v>
      </c>
      <c r="E13">
        <v>3.20949224209591</v>
      </c>
    </row>
    <row r="14" spans="1:5" x14ac:dyDescent="0.45">
      <c r="A14" t="s">
        <v>68</v>
      </c>
      <c r="B14" t="s">
        <v>69</v>
      </c>
      <c r="C14" t="s">
        <v>15</v>
      </c>
      <c r="D14">
        <v>9905.9117856652992</v>
      </c>
      <c r="E14">
        <v>4.05016327456645</v>
      </c>
    </row>
    <row r="15" spans="1:5" x14ac:dyDescent="0.45">
      <c r="A15" t="s">
        <v>68</v>
      </c>
      <c r="B15" t="s">
        <v>70</v>
      </c>
      <c r="C15" t="s">
        <v>15</v>
      </c>
      <c r="D15">
        <v>18375.614402934199</v>
      </c>
      <c r="E15">
        <v>3.2433514929484302</v>
      </c>
    </row>
    <row r="16" spans="1:5" x14ac:dyDescent="0.45">
      <c r="A16" t="s">
        <v>68</v>
      </c>
      <c r="B16" t="s">
        <v>69</v>
      </c>
      <c r="C16" t="s">
        <v>16</v>
      </c>
      <c r="D16">
        <v>10305.7715088191</v>
      </c>
      <c r="E16">
        <v>4.0818703959662797</v>
      </c>
    </row>
    <row r="17" spans="1:5" x14ac:dyDescent="0.45">
      <c r="A17" t="s">
        <v>68</v>
      </c>
      <c r="B17" t="s">
        <v>70</v>
      </c>
      <c r="C17" t="s">
        <v>16</v>
      </c>
      <c r="D17">
        <v>19286.462561733901</v>
      </c>
      <c r="E17">
        <v>3.2859292793897299</v>
      </c>
    </row>
    <row r="18" spans="1:5" x14ac:dyDescent="0.45">
      <c r="A18" t="s">
        <v>68</v>
      </c>
      <c r="B18" t="s">
        <v>69</v>
      </c>
      <c r="C18" t="s">
        <v>17</v>
      </c>
      <c r="D18">
        <v>11074.800116145299</v>
      </c>
      <c r="E18">
        <v>4.10291374277777</v>
      </c>
    </row>
    <row r="19" spans="1:5" x14ac:dyDescent="0.45">
      <c r="A19" t="s">
        <v>68</v>
      </c>
      <c r="B19" t="s">
        <v>70</v>
      </c>
      <c r="C19" t="s">
        <v>17</v>
      </c>
      <c r="D19">
        <v>20579.866898558601</v>
      </c>
      <c r="E19">
        <v>3.2937385460305402</v>
      </c>
    </row>
    <row r="20" spans="1:5" x14ac:dyDescent="0.45">
      <c r="A20" t="s">
        <v>68</v>
      </c>
      <c r="B20" t="s">
        <v>69</v>
      </c>
      <c r="C20" t="s">
        <v>18</v>
      </c>
      <c r="D20">
        <v>11274.1665488584</v>
      </c>
      <c r="E20">
        <v>4.7930923192231498</v>
      </c>
    </row>
    <row r="21" spans="1:5" x14ac:dyDescent="0.45">
      <c r="A21" t="s">
        <v>68</v>
      </c>
      <c r="B21" t="s">
        <v>70</v>
      </c>
      <c r="C21" t="s">
        <v>18</v>
      </c>
      <c r="D21">
        <v>20505.0558844921</v>
      </c>
      <c r="E21">
        <v>3.85045266124032</v>
      </c>
    </row>
    <row r="22" spans="1:5" x14ac:dyDescent="0.45">
      <c r="A22" t="s">
        <v>68</v>
      </c>
      <c r="B22" t="s">
        <v>69</v>
      </c>
      <c r="C22" t="s">
        <v>19</v>
      </c>
      <c r="D22">
        <v>10892.0831032806</v>
      </c>
      <c r="E22">
        <v>4.8896341340433098</v>
      </c>
    </row>
    <row r="23" spans="1:5" x14ac:dyDescent="0.45">
      <c r="A23" t="s">
        <v>68</v>
      </c>
      <c r="B23" t="s">
        <v>70</v>
      </c>
      <c r="C23" t="s">
        <v>19</v>
      </c>
      <c r="D23">
        <v>20315.021168910898</v>
      </c>
      <c r="E23">
        <v>3.9226000329663901</v>
      </c>
    </row>
    <row r="24" spans="1:5" x14ac:dyDescent="0.45">
      <c r="A24" t="s">
        <v>68</v>
      </c>
      <c r="B24" t="s">
        <v>69</v>
      </c>
      <c r="C24" t="s">
        <v>20</v>
      </c>
      <c r="D24">
        <v>10258.640708773</v>
      </c>
      <c r="E24">
        <v>4.72107419630591</v>
      </c>
    </row>
    <row r="25" spans="1:5" x14ac:dyDescent="0.45">
      <c r="A25" t="s">
        <v>68</v>
      </c>
      <c r="B25" t="s">
        <v>70</v>
      </c>
      <c r="C25" t="s">
        <v>20</v>
      </c>
      <c r="D25">
        <v>19012.038187777998</v>
      </c>
      <c r="E25">
        <v>3.8145060346455599</v>
      </c>
    </row>
    <row r="26" spans="1:5" x14ac:dyDescent="0.45">
      <c r="A26" t="s">
        <v>68</v>
      </c>
      <c r="B26" t="s">
        <v>69</v>
      </c>
      <c r="C26" t="s">
        <v>21</v>
      </c>
      <c r="D26">
        <v>8187.5647495661196</v>
      </c>
      <c r="E26">
        <v>4.6936347178037199</v>
      </c>
    </row>
    <row r="27" spans="1:5" x14ac:dyDescent="0.45">
      <c r="A27" t="s">
        <v>68</v>
      </c>
      <c r="B27" t="s">
        <v>70</v>
      </c>
      <c r="C27" t="s">
        <v>21</v>
      </c>
      <c r="D27">
        <v>15314.7270188765</v>
      </c>
      <c r="E27">
        <v>3.76412901331594</v>
      </c>
    </row>
    <row r="28" spans="1:5" x14ac:dyDescent="0.45">
      <c r="A28" t="s">
        <v>68</v>
      </c>
      <c r="B28" t="s">
        <v>69</v>
      </c>
      <c r="C28" t="s">
        <v>22</v>
      </c>
      <c r="D28">
        <v>6006.2600397975102</v>
      </c>
      <c r="E28">
        <v>5.8644967441212099</v>
      </c>
    </row>
    <row r="29" spans="1:5" x14ac:dyDescent="0.45">
      <c r="A29" t="s">
        <v>68</v>
      </c>
      <c r="B29" t="s">
        <v>70</v>
      </c>
      <c r="C29" t="s">
        <v>22</v>
      </c>
      <c r="D29">
        <v>10973.248809695</v>
      </c>
      <c r="E29">
        <v>4.6711746901082503</v>
      </c>
    </row>
    <row r="30" spans="1:5" x14ac:dyDescent="0.45">
      <c r="A30" t="s">
        <v>68</v>
      </c>
      <c r="B30" t="s">
        <v>69</v>
      </c>
      <c r="C30" t="s">
        <v>23</v>
      </c>
      <c r="D30">
        <v>3704.6428939464199</v>
      </c>
      <c r="E30">
        <v>5.6019100547807996</v>
      </c>
    </row>
    <row r="31" spans="1:5" x14ac:dyDescent="0.45">
      <c r="A31" t="s">
        <v>68</v>
      </c>
      <c r="B31" t="s">
        <v>70</v>
      </c>
      <c r="C31" t="s">
        <v>23</v>
      </c>
      <c r="D31">
        <v>6931.6466416803896</v>
      </c>
      <c r="E31">
        <v>4.3989429124741903</v>
      </c>
    </row>
    <row r="32" spans="1:5" x14ac:dyDescent="0.45">
      <c r="A32" t="s">
        <v>68</v>
      </c>
      <c r="B32" t="s">
        <v>69</v>
      </c>
      <c r="C32" t="s">
        <v>24</v>
      </c>
      <c r="D32">
        <v>1401.85307854086</v>
      </c>
      <c r="E32">
        <v>4.4428957421492097</v>
      </c>
    </row>
    <row r="33" spans="1:8" x14ac:dyDescent="0.45">
      <c r="A33" t="s">
        <v>68</v>
      </c>
      <c r="B33" t="s">
        <v>70</v>
      </c>
      <c r="C33" t="s">
        <v>24</v>
      </c>
      <c r="D33">
        <v>2460.8814956983401</v>
      </c>
      <c r="E33">
        <v>3.4585129630807798</v>
      </c>
    </row>
    <row r="35" spans="1:8" x14ac:dyDescent="0.45">
      <c r="A35" t="s">
        <v>71</v>
      </c>
    </row>
    <row r="37" spans="1:8" x14ac:dyDescent="0.45">
      <c r="A37" t="s">
        <v>1</v>
      </c>
      <c r="B37" t="s">
        <v>2</v>
      </c>
      <c r="C37" t="s">
        <v>4</v>
      </c>
      <c r="D37" t="s">
        <v>26</v>
      </c>
      <c r="E37" t="s">
        <v>27</v>
      </c>
      <c r="F37" t="s">
        <v>28</v>
      </c>
      <c r="G37" t="s">
        <v>29</v>
      </c>
      <c r="H37" t="s">
        <v>30</v>
      </c>
    </row>
    <row r="38" spans="1:8" x14ac:dyDescent="0.45">
      <c r="A38" t="s">
        <v>68</v>
      </c>
      <c r="B38" t="s">
        <v>69</v>
      </c>
      <c r="C38">
        <v>111253.946976465</v>
      </c>
      <c r="D38">
        <v>5175</v>
      </c>
      <c r="E38">
        <v>4.6515203645716499</v>
      </c>
      <c r="F38">
        <v>4.4390932505834204</v>
      </c>
      <c r="G38">
        <v>4.4366833658178004</v>
      </c>
      <c r="H38">
        <v>4.4415031353490502</v>
      </c>
    </row>
    <row r="39" spans="1:8" x14ac:dyDescent="0.45">
      <c r="A39" t="s">
        <v>68</v>
      </c>
      <c r="B39" t="s">
        <v>70</v>
      </c>
      <c r="C39">
        <v>206333.53269027401</v>
      </c>
      <c r="D39">
        <v>7675</v>
      </c>
      <c r="E39">
        <v>3.7197056144630101</v>
      </c>
      <c r="F39">
        <v>3.5527901781487699</v>
      </c>
      <c r="G39">
        <v>3.5513972145311401</v>
      </c>
      <c r="H39">
        <v>3.5541831417663898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9"/>
  <sheetViews>
    <sheetView workbookViewId="0"/>
  </sheetViews>
  <sheetFormatPr baseColWidth="10" defaultRowHeight="14.25" x14ac:dyDescent="0.45"/>
  <sheetData>
    <row r="1" spans="1:5" x14ac:dyDescent="0.45">
      <c r="A1" t="s">
        <v>72</v>
      </c>
    </row>
    <row r="3" spans="1:5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45">
      <c r="A4" t="s">
        <v>73</v>
      </c>
      <c r="B4" t="s">
        <v>69</v>
      </c>
      <c r="C4" t="s">
        <v>8</v>
      </c>
      <c r="D4">
        <v>2319.90403959484</v>
      </c>
      <c r="E4">
        <v>3.7526503730895202</v>
      </c>
    </row>
    <row r="5" spans="1:5" x14ac:dyDescent="0.45">
      <c r="A5" t="s">
        <v>73</v>
      </c>
      <c r="B5" t="s">
        <v>70</v>
      </c>
      <c r="C5" t="s">
        <v>8</v>
      </c>
      <c r="D5">
        <v>2809.0395324329802</v>
      </c>
      <c r="E5">
        <v>3.1055914330287901</v>
      </c>
    </row>
    <row r="6" spans="1:5" x14ac:dyDescent="0.45">
      <c r="A6" t="s">
        <v>73</v>
      </c>
      <c r="B6" t="s">
        <v>69</v>
      </c>
      <c r="C6" t="s">
        <v>11</v>
      </c>
      <c r="D6">
        <v>4692.9490510037203</v>
      </c>
      <c r="E6">
        <v>3.67365257043223</v>
      </c>
    </row>
    <row r="7" spans="1:5" x14ac:dyDescent="0.45">
      <c r="A7" t="s">
        <v>73</v>
      </c>
      <c r="B7" t="s">
        <v>70</v>
      </c>
      <c r="C7" t="s">
        <v>11</v>
      </c>
      <c r="D7">
        <v>5812.7330450520803</v>
      </c>
      <c r="E7">
        <v>3.0737743910024902</v>
      </c>
    </row>
    <row r="8" spans="1:5" x14ac:dyDescent="0.45">
      <c r="A8" t="s">
        <v>73</v>
      </c>
      <c r="B8" t="s">
        <v>69</v>
      </c>
      <c r="C8" t="s">
        <v>12</v>
      </c>
      <c r="D8">
        <v>7178.7654382554001</v>
      </c>
      <c r="E8">
        <v>3.6651946339250201</v>
      </c>
    </row>
    <row r="9" spans="1:5" x14ac:dyDescent="0.45">
      <c r="A9" t="s">
        <v>73</v>
      </c>
      <c r="B9" t="s">
        <v>70</v>
      </c>
      <c r="C9" t="s">
        <v>12</v>
      </c>
      <c r="D9">
        <v>8909.6724605800391</v>
      </c>
      <c r="E9">
        <v>3.0389770020981701</v>
      </c>
    </row>
    <row r="10" spans="1:5" x14ac:dyDescent="0.45">
      <c r="A10" t="s">
        <v>73</v>
      </c>
      <c r="B10" t="s">
        <v>69</v>
      </c>
      <c r="C10" t="s">
        <v>13</v>
      </c>
      <c r="D10">
        <v>9793.8059754238893</v>
      </c>
      <c r="E10">
        <v>3.6666390323178999</v>
      </c>
    </row>
    <row r="11" spans="1:5" x14ac:dyDescent="0.45">
      <c r="A11" t="s">
        <v>73</v>
      </c>
      <c r="B11" t="s">
        <v>70</v>
      </c>
      <c r="C11" t="s">
        <v>13</v>
      </c>
      <c r="D11">
        <v>12013.379353726301</v>
      </c>
      <c r="E11">
        <v>2.9987314567197201</v>
      </c>
    </row>
    <row r="12" spans="1:5" x14ac:dyDescent="0.45">
      <c r="A12" t="s">
        <v>73</v>
      </c>
      <c r="B12" t="s">
        <v>69</v>
      </c>
      <c r="C12" t="s">
        <v>14</v>
      </c>
      <c r="D12">
        <v>12375.9961438757</v>
      </c>
      <c r="E12">
        <v>3.85074549665062</v>
      </c>
    </row>
    <row r="13" spans="1:5" x14ac:dyDescent="0.45">
      <c r="A13" t="s">
        <v>73</v>
      </c>
      <c r="B13" t="s">
        <v>70</v>
      </c>
      <c r="C13" t="s">
        <v>14</v>
      </c>
      <c r="D13">
        <v>14914.977023043301</v>
      </c>
      <c r="E13">
        <v>3.19094771655775</v>
      </c>
    </row>
    <row r="14" spans="1:5" x14ac:dyDescent="0.45">
      <c r="A14" t="s">
        <v>73</v>
      </c>
      <c r="B14" t="s">
        <v>69</v>
      </c>
      <c r="C14" t="s">
        <v>15</v>
      </c>
      <c r="D14">
        <v>12682.9723184538</v>
      </c>
      <c r="E14">
        <v>3.8934104884163401</v>
      </c>
    </row>
    <row r="15" spans="1:5" x14ac:dyDescent="0.45">
      <c r="A15" t="s">
        <v>73</v>
      </c>
      <c r="B15" t="s">
        <v>70</v>
      </c>
      <c r="C15" t="s">
        <v>15</v>
      </c>
      <c r="D15">
        <v>15598.553870145701</v>
      </c>
      <c r="E15">
        <v>3.2271657676152001</v>
      </c>
    </row>
    <row r="16" spans="1:5" x14ac:dyDescent="0.45">
      <c r="A16" t="s">
        <v>73</v>
      </c>
      <c r="B16" t="s">
        <v>69</v>
      </c>
      <c r="C16" t="s">
        <v>16</v>
      </c>
      <c r="D16">
        <v>13417.1072538643</v>
      </c>
      <c r="E16">
        <v>3.9124410829734999</v>
      </c>
    </row>
    <row r="17" spans="1:5" x14ac:dyDescent="0.45">
      <c r="A17" t="s">
        <v>73</v>
      </c>
      <c r="B17" t="s">
        <v>70</v>
      </c>
      <c r="C17" t="s">
        <v>16</v>
      </c>
      <c r="D17">
        <v>16175.1268166886</v>
      </c>
      <c r="E17">
        <v>3.27336747478159</v>
      </c>
    </row>
    <row r="18" spans="1:5" x14ac:dyDescent="0.45">
      <c r="A18" t="s">
        <v>73</v>
      </c>
      <c r="B18" t="s">
        <v>69</v>
      </c>
      <c r="C18" t="s">
        <v>17</v>
      </c>
      <c r="D18">
        <v>14056.099698153799</v>
      </c>
      <c r="E18">
        <v>3.9307076570878401</v>
      </c>
    </row>
    <row r="19" spans="1:5" x14ac:dyDescent="0.45">
      <c r="A19" t="s">
        <v>73</v>
      </c>
      <c r="B19" t="s">
        <v>70</v>
      </c>
      <c r="C19" t="s">
        <v>17</v>
      </c>
      <c r="D19">
        <v>17598.567316550201</v>
      </c>
      <c r="E19">
        <v>3.29420177880999</v>
      </c>
    </row>
    <row r="20" spans="1:5" x14ac:dyDescent="0.45">
      <c r="A20" t="s">
        <v>73</v>
      </c>
      <c r="B20" t="s">
        <v>69</v>
      </c>
      <c r="C20" t="s">
        <v>18</v>
      </c>
      <c r="D20">
        <v>14283.500208800901</v>
      </c>
      <c r="E20">
        <v>4.6125466487118203</v>
      </c>
    </row>
    <row r="21" spans="1:5" x14ac:dyDescent="0.45">
      <c r="A21" t="s">
        <v>73</v>
      </c>
      <c r="B21" t="s">
        <v>70</v>
      </c>
      <c r="C21" t="s">
        <v>18</v>
      </c>
      <c r="D21">
        <v>17495.722224549601</v>
      </c>
      <c r="E21">
        <v>3.83571230778661</v>
      </c>
    </row>
    <row r="22" spans="1:5" x14ac:dyDescent="0.45">
      <c r="A22" t="s">
        <v>73</v>
      </c>
      <c r="B22" t="s">
        <v>69</v>
      </c>
      <c r="C22" t="s">
        <v>19</v>
      </c>
      <c r="D22">
        <v>14176.6925455127</v>
      </c>
      <c r="E22">
        <v>4.6616320106220899</v>
      </c>
    </row>
    <row r="23" spans="1:5" x14ac:dyDescent="0.45">
      <c r="A23" t="s">
        <v>73</v>
      </c>
      <c r="B23" t="s">
        <v>70</v>
      </c>
      <c r="C23" t="s">
        <v>19</v>
      </c>
      <c r="D23">
        <v>17030.411726678802</v>
      </c>
      <c r="E23">
        <v>3.9258874851435599</v>
      </c>
    </row>
    <row r="24" spans="1:5" x14ac:dyDescent="0.45">
      <c r="A24" t="s">
        <v>73</v>
      </c>
      <c r="B24" t="s">
        <v>69</v>
      </c>
      <c r="C24" t="s">
        <v>20</v>
      </c>
      <c r="D24">
        <v>13186.265081027101</v>
      </c>
      <c r="E24">
        <v>4.5336190529325</v>
      </c>
    </row>
    <row r="25" spans="1:5" x14ac:dyDescent="0.45">
      <c r="A25" t="s">
        <v>73</v>
      </c>
      <c r="B25" t="s">
        <v>70</v>
      </c>
      <c r="C25" t="s">
        <v>20</v>
      </c>
      <c r="D25">
        <v>16084.4138155239</v>
      </c>
      <c r="E25">
        <v>3.8031747025899998</v>
      </c>
    </row>
    <row r="26" spans="1:5" x14ac:dyDescent="0.45">
      <c r="A26" t="s">
        <v>73</v>
      </c>
      <c r="B26" t="s">
        <v>69</v>
      </c>
      <c r="C26" t="s">
        <v>21</v>
      </c>
      <c r="D26">
        <v>10554.4054342729</v>
      </c>
      <c r="E26">
        <v>4.4534724236292398</v>
      </c>
    </row>
    <row r="27" spans="1:5" x14ac:dyDescent="0.45">
      <c r="A27" t="s">
        <v>73</v>
      </c>
      <c r="B27" t="s">
        <v>70</v>
      </c>
      <c r="C27" t="s">
        <v>21</v>
      </c>
      <c r="D27">
        <v>12947.8863341697</v>
      </c>
      <c r="E27">
        <v>3.78998483997781</v>
      </c>
    </row>
    <row r="28" spans="1:5" x14ac:dyDescent="0.45">
      <c r="A28" t="s">
        <v>73</v>
      </c>
      <c r="B28" t="s">
        <v>69</v>
      </c>
      <c r="C28" t="s">
        <v>22</v>
      </c>
      <c r="D28">
        <v>7541.7848999730504</v>
      </c>
      <c r="E28">
        <v>5.6584945846218098</v>
      </c>
    </row>
    <row r="29" spans="1:5" x14ac:dyDescent="0.45">
      <c r="A29" t="s">
        <v>73</v>
      </c>
      <c r="B29" t="s">
        <v>70</v>
      </c>
      <c r="C29" t="s">
        <v>22</v>
      </c>
      <c r="D29">
        <v>9437.7239495194808</v>
      </c>
      <c r="E29">
        <v>4.6416387865631501</v>
      </c>
    </row>
    <row r="30" spans="1:5" x14ac:dyDescent="0.45">
      <c r="A30" t="s">
        <v>73</v>
      </c>
      <c r="B30" t="s">
        <v>69</v>
      </c>
      <c r="C30" t="s">
        <v>23</v>
      </c>
      <c r="D30">
        <v>4769.3775857044702</v>
      </c>
      <c r="E30">
        <v>5.31867117819034</v>
      </c>
    </row>
    <row r="31" spans="1:5" x14ac:dyDescent="0.45">
      <c r="A31" t="s">
        <v>73</v>
      </c>
      <c r="B31" t="s">
        <v>70</v>
      </c>
      <c r="C31" t="s">
        <v>23</v>
      </c>
      <c r="D31">
        <v>5866.9119499223298</v>
      </c>
      <c r="E31">
        <v>4.41087973725518</v>
      </c>
    </row>
    <row r="32" spans="1:5" x14ac:dyDescent="0.45">
      <c r="A32" t="s">
        <v>73</v>
      </c>
      <c r="B32" t="s">
        <v>69</v>
      </c>
      <c r="C32" t="s">
        <v>24</v>
      </c>
      <c r="D32">
        <v>1739.23880619743</v>
      </c>
      <c r="E32">
        <v>4.2041596434161601</v>
      </c>
    </row>
    <row r="33" spans="1:8" x14ac:dyDescent="0.45">
      <c r="A33" t="s">
        <v>73</v>
      </c>
      <c r="B33" t="s">
        <v>70</v>
      </c>
      <c r="C33" t="s">
        <v>24</v>
      </c>
      <c r="D33">
        <v>2123.4957680417801</v>
      </c>
      <c r="E33">
        <v>3.4976476712345601</v>
      </c>
    </row>
    <row r="35" spans="1:8" x14ac:dyDescent="0.45">
      <c r="A35" t="s">
        <v>74</v>
      </c>
    </row>
    <row r="37" spans="1:8" x14ac:dyDescent="0.45">
      <c r="A37" t="s">
        <v>1</v>
      </c>
      <c r="B37" t="s">
        <v>2</v>
      </c>
      <c r="C37" t="s">
        <v>4</v>
      </c>
      <c r="D37" t="s">
        <v>26</v>
      </c>
      <c r="E37" t="s">
        <v>27</v>
      </c>
      <c r="F37" t="s">
        <v>28</v>
      </c>
      <c r="G37" t="s">
        <v>29</v>
      </c>
      <c r="H37" t="s">
        <v>30</v>
      </c>
    </row>
    <row r="38" spans="1:8" x14ac:dyDescent="0.45">
      <c r="A38" t="s">
        <v>73</v>
      </c>
      <c r="B38" t="s">
        <v>69</v>
      </c>
      <c r="C38">
        <v>142768.86448011399</v>
      </c>
      <c r="D38">
        <v>6357</v>
      </c>
      <c r="E38">
        <v>4.4526515099414103</v>
      </c>
      <c r="F38">
        <v>4.2520328015821596</v>
      </c>
      <c r="G38">
        <v>4.2499987926701204</v>
      </c>
      <c r="H38">
        <v>4.2540668104941997</v>
      </c>
    </row>
    <row r="39" spans="1:8" x14ac:dyDescent="0.45">
      <c r="A39" t="s">
        <v>73</v>
      </c>
      <c r="B39" t="s">
        <v>70</v>
      </c>
      <c r="C39">
        <v>174818.61518662499</v>
      </c>
      <c r="D39">
        <v>6493</v>
      </c>
      <c r="E39">
        <v>3.7141353585649299</v>
      </c>
      <c r="F39">
        <v>3.5457808541322602</v>
      </c>
      <c r="G39">
        <v>3.5442656794794298</v>
      </c>
      <c r="H39">
        <v>3.5472960287850999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1"/>
  <sheetViews>
    <sheetView workbookViewId="0"/>
  </sheetViews>
  <sheetFormatPr baseColWidth="10" defaultRowHeight="14.25" x14ac:dyDescent="0.45"/>
  <sheetData>
    <row r="1" spans="1:5" x14ac:dyDescent="0.45">
      <c r="A1" t="s">
        <v>75</v>
      </c>
    </row>
    <row r="3" spans="1:5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45">
      <c r="A4" t="s">
        <v>76</v>
      </c>
      <c r="B4" t="s">
        <v>77</v>
      </c>
      <c r="C4" t="s">
        <v>8</v>
      </c>
      <c r="D4">
        <v>3070.09173580167</v>
      </c>
      <c r="E4">
        <v>3.1399217448404801</v>
      </c>
    </row>
    <row r="5" spans="1:5" x14ac:dyDescent="0.45">
      <c r="A5" t="s">
        <v>76</v>
      </c>
      <c r="B5" t="s">
        <v>78</v>
      </c>
      <c r="C5" t="s">
        <v>8</v>
      </c>
      <c r="D5">
        <v>1060.27095562405</v>
      </c>
      <c r="E5">
        <v>3.4245594990113202</v>
      </c>
    </row>
    <row r="6" spans="1:5" x14ac:dyDescent="0.45">
      <c r="A6" t="s">
        <v>76</v>
      </c>
      <c r="B6" t="s">
        <v>79</v>
      </c>
      <c r="C6" t="s">
        <v>8</v>
      </c>
      <c r="D6">
        <v>232.435969484232</v>
      </c>
      <c r="E6">
        <v>4.81404160991592</v>
      </c>
    </row>
    <row r="7" spans="1:5" x14ac:dyDescent="0.45">
      <c r="A7" t="s">
        <v>76</v>
      </c>
      <c r="B7" t="s">
        <v>10</v>
      </c>
      <c r="C7" t="s">
        <v>8</v>
      </c>
      <c r="D7">
        <v>766.14491111786595</v>
      </c>
      <c r="E7">
        <v>3.9675949305728002</v>
      </c>
    </row>
    <row r="8" spans="1:5" x14ac:dyDescent="0.45">
      <c r="A8" t="s">
        <v>76</v>
      </c>
      <c r="B8" t="s">
        <v>77</v>
      </c>
      <c r="C8" t="s">
        <v>11</v>
      </c>
      <c r="D8">
        <v>6328.8013682967703</v>
      </c>
      <c r="E8">
        <v>3.1376844126974901</v>
      </c>
    </row>
    <row r="9" spans="1:5" x14ac:dyDescent="0.45">
      <c r="A9" t="s">
        <v>76</v>
      </c>
      <c r="B9" t="s">
        <v>78</v>
      </c>
      <c r="C9" t="s">
        <v>11</v>
      </c>
      <c r="D9">
        <v>2066.8890806959498</v>
      </c>
      <c r="E9">
        <v>3.3526534171761999</v>
      </c>
    </row>
    <row r="10" spans="1:5" x14ac:dyDescent="0.45">
      <c r="A10" t="s">
        <v>76</v>
      </c>
      <c r="B10" t="s">
        <v>79</v>
      </c>
      <c r="C10" t="s">
        <v>11</v>
      </c>
      <c r="D10">
        <v>524.07317982301095</v>
      </c>
      <c r="E10">
        <v>4.5589230938508596</v>
      </c>
    </row>
    <row r="11" spans="1:5" x14ac:dyDescent="0.45">
      <c r="A11" t="s">
        <v>76</v>
      </c>
      <c r="B11" t="s">
        <v>10</v>
      </c>
      <c r="C11" t="s">
        <v>11</v>
      </c>
      <c r="D11">
        <v>1585.91846724007</v>
      </c>
      <c r="E11">
        <v>3.7396253188334598</v>
      </c>
    </row>
    <row r="12" spans="1:5" x14ac:dyDescent="0.45">
      <c r="A12" t="s">
        <v>76</v>
      </c>
      <c r="B12" t="s">
        <v>77</v>
      </c>
      <c r="C12" t="s">
        <v>12</v>
      </c>
      <c r="D12">
        <v>9646.9132083107306</v>
      </c>
      <c r="E12">
        <v>3.06906697281741</v>
      </c>
    </row>
    <row r="13" spans="1:5" x14ac:dyDescent="0.45">
      <c r="A13" t="s">
        <v>76</v>
      </c>
      <c r="B13" t="s">
        <v>78</v>
      </c>
      <c r="C13" t="s">
        <v>12</v>
      </c>
      <c r="D13">
        <v>3121.45240228987</v>
      </c>
      <c r="E13">
        <v>3.39520255235275</v>
      </c>
    </row>
    <row r="14" spans="1:5" x14ac:dyDescent="0.45">
      <c r="A14" t="s">
        <v>76</v>
      </c>
      <c r="B14" t="s">
        <v>79</v>
      </c>
      <c r="C14" t="s">
        <v>12</v>
      </c>
      <c r="D14">
        <v>875.68989065112498</v>
      </c>
      <c r="E14">
        <v>4.3941971770950596</v>
      </c>
    </row>
    <row r="15" spans="1:5" x14ac:dyDescent="0.45">
      <c r="A15" t="s">
        <v>76</v>
      </c>
      <c r="B15" t="s">
        <v>10</v>
      </c>
      <c r="C15" t="s">
        <v>12</v>
      </c>
      <c r="D15">
        <v>2444.3823975837199</v>
      </c>
      <c r="E15">
        <v>3.8189288016405598</v>
      </c>
    </row>
    <row r="16" spans="1:5" x14ac:dyDescent="0.45">
      <c r="A16" t="s">
        <v>76</v>
      </c>
      <c r="B16" t="s">
        <v>77</v>
      </c>
      <c r="C16" t="s">
        <v>13</v>
      </c>
      <c r="D16">
        <v>13164.307344172899</v>
      </c>
      <c r="E16">
        <v>3.0689163746860699</v>
      </c>
    </row>
    <row r="17" spans="1:5" x14ac:dyDescent="0.45">
      <c r="A17" t="s">
        <v>76</v>
      </c>
      <c r="B17" t="s">
        <v>78</v>
      </c>
      <c r="C17" t="s">
        <v>13</v>
      </c>
      <c r="D17">
        <v>4388.53026712878</v>
      </c>
      <c r="E17">
        <v>3.35279057858151</v>
      </c>
    </row>
    <row r="18" spans="1:5" x14ac:dyDescent="0.45">
      <c r="A18" t="s">
        <v>76</v>
      </c>
      <c r="B18" t="s">
        <v>79</v>
      </c>
      <c r="C18" t="s">
        <v>13</v>
      </c>
      <c r="D18">
        <v>1005.22626076695</v>
      </c>
      <c r="E18">
        <v>4.50286090079255</v>
      </c>
    </row>
    <row r="19" spans="1:5" x14ac:dyDescent="0.45">
      <c r="A19" t="s">
        <v>76</v>
      </c>
      <c r="B19" t="s">
        <v>10</v>
      </c>
      <c r="C19" t="s">
        <v>13</v>
      </c>
      <c r="D19">
        <v>3249.12145708154</v>
      </c>
      <c r="E19">
        <v>3.7840612199115902</v>
      </c>
    </row>
    <row r="20" spans="1:5" x14ac:dyDescent="0.45">
      <c r="A20" t="s">
        <v>76</v>
      </c>
      <c r="B20" t="s">
        <v>77</v>
      </c>
      <c r="C20" t="s">
        <v>14</v>
      </c>
      <c r="D20">
        <v>16346.6983543162</v>
      </c>
      <c r="E20">
        <v>3.24113461697607</v>
      </c>
    </row>
    <row r="21" spans="1:5" x14ac:dyDescent="0.45">
      <c r="A21" t="s">
        <v>76</v>
      </c>
      <c r="B21" t="s">
        <v>78</v>
      </c>
      <c r="C21" t="s">
        <v>14</v>
      </c>
      <c r="D21">
        <v>5525.3870412658798</v>
      </c>
      <c r="E21">
        <v>3.55175099777601</v>
      </c>
    </row>
    <row r="22" spans="1:5" x14ac:dyDescent="0.45">
      <c r="A22" t="s">
        <v>76</v>
      </c>
      <c r="B22" t="s">
        <v>79</v>
      </c>
      <c r="C22" t="s">
        <v>14</v>
      </c>
      <c r="D22">
        <v>1379.5903226959899</v>
      </c>
      <c r="E22">
        <v>4.73499550828961</v>
      </c>
    </row>
    <row r="23" spans="1:5" x14ac:dyDescent="0.45">
      <c r="A23" t="s">
        <v>76</v>
      </c>
      <c r="B23" t="s">
        <v>10</v>
      </c>
      <c r="C23" t="s">
        <v>14</v>
      </c>
      <c r="D23">
        <v>4039.2974486409498</v>
      </c>
      <c r="E23">
        <v>3.9884956899142701</v>
      </c>
    </row>
    <row r="24" spans="1:5" x14ac:dyDescent="0.45">
      <c r="A24" t="s">
        <v>76</v>
      </c>
      <c r="B24" t="s">
        <v>77</v>
      </c>
      <c r="C24" t="s">
        <v>15</v>
      </c>
      <c r="D24">
        <v>16978.287449315201</v>
      </c>
      <c r="E24">
        <v>3.2659045372723998</v>
      </c>
    </row>
    <row r="25" spans="1:5" x14ac:dyDescent="0.45">
      <c r="A25" t="s">
        <v>76</v>
      </c>
      <c r="B25" t="s">
        <v>78</v>
      </c>
      <c r="C25" t="s">
        <v>15</v>
      </c>
      <c r="D25">
        <v>5653.7267654766802</v>
      </c>
      <c r="E25">
        <v>3.5987038519935601</v>
      </c>
    </row>
    <row r="26" spans="1:5" x14ac:dyDescent="0.45">
      <c r="A26" t="s">
        <v>76</v>
      </c>
      <c r="B26" t="s">
        <v>79</v>
      </c>
      <c r="C26" t="s">
        <v>15</v>
      </c>
      <c r="D26">
        <v>1466.40418728129</v>
      </c>
      <c r="E26">
        <v>4.8229385907790299</v>
      </c>
    </row>
    <row r="27" spans="1:5" x14ac:dyDescent="0.45">
      <c r="A27" t="s">
        <v>76</v>
      </c>
      <c r="B27" t="s">
        <v>10</v>
      </c>
      <c r="C27" t="s">
        <v>15</v>
      </c>
      <c r="D27">
        <v>4183.1077865262896</v>
      </c>
      <c r="E27">
        <v>4.0283936569558696</v>
      </c>
    </row>
    <row r="28" spans="1:5" x14ac:dyDescent="0.45">
      <c r="A28" t="s">
        <v>76</v>
      </c>
      <c r="B28" t="s">
        <v>77</v>
      </c>
      <c r="C28" t="s">
        <v>16</v>
      </c>
      <c r="D28">
        <v>17762.354971100402</v>
      </c>
      <c r="E28">
        <v>3.3086094369846299</v>
      </c>
    </row>
    <row r="29" spans="1:5" x14ac:dyDescent="0.45">
      <c r="A29" t="s">
        <v>76</v>
      </c>
      <c r="B29" t="s">
        <v>78</v>
      </c>
      <c r="C29" t="s">
        <v>16</v>
      </c>
      <c r="D29">
        <v>5853.05778518024</v>
      </c>
      <c r="E29">
        <v>3.59449577832472</v>
      </c>
    </row>
    <row r="30" spans="1:5" x14ac:dyDescent="0.45">
      <c r="A30" t="s">
        <v>76</v>
      </c>
      <c r="B30" t="s">
        <v>79</v>
      </c>
      <c r="C30" t="s">
        <v>16</v>
      </c>
      <c r="D30">
        <v>1534.3817220194801</v>
      </c>
      <c r="E30">
        <v>4.7923726578673396</v>
      </c>
    </row>
    <row r="31" spans="1:5" x14ac:dyDescent="0.45">
      <c r="A31" t="s">
        <v>76</v>
      </c>
      <c r="B31" t="s">
        <v>10</v>
      </c>
      <c r="C31" t="s">
        <v>16</v>
      </c>
      <c r="D31">
        <v>4442.4395922528302</v>
      </c>
      <c r="E31">
        <v>4.1148471434170597</v>
      </c>
    </row>
    <row r="32" spans="1:5" x14ac:dyDescent="0.45">
      <c r="A32" t="s">
        <v>76</v>
      </c>
      <c r="B32" t="s">
        <v>77</v>
      </c>
      <c r="C32" t="s">
        <v>17</v>
      </c>
      <c r="D32">
        <v>19019.1739456701</v>
      </c>
      <c r="E32">
        <v>3.3350663848541</v>
      </c>
    </row>
    <row r="33" spans="1:5" x14ac:dyDescent="0.45">
      <c r="A33" t="s">
        <v>76</v>
      </c>
      <c r="B33" t="s">
        <v>78</v>
      </c>
      <c r="C33" t="s">
        <v>17</v>
      </c>
      <c r="D33">
        <v>6400.2111837951297</v>
      </c>
      <c r="E33">
        <v>3.6115803003120899</v>
      </c>
    </row>
    <row r="34" spans="1:5" x14ac:dyDescent="0.45">
      <c r="A34" t="s">
        <v>76</v>
      </c>
      <c r="B34" t="s">
        <v>79</v>
      </c>
      <c r="C34" t="s">
        <v>17</v>
      </c>
      <c r="D34">
        <v>1525.1216465637001</v>
      </c>
      <c r="E34">
        <v>4.9327238559385602</v>
      </c>
    </row>
    <row r="35" spans="1:5" x14ac:dyDescent="0.45">
      <c r="A35" t="s">
        <v>76</v>
      </c>
      <c r="B35" t="s">
        <v>10</v>
      </c>
      <c r="C35" t="s">
        <v>17</v>
      </c>
      <c r="D35">
        <v>4710.1602386750401</v>
      </c>
      <c r="E35">
        <v>4.0668599894717401</v>
      </c>
    </row>
    <row r="36" spans="1:5" x14ac:dyDescent="0.45">
      <c r="A36" t="s">
        <v>76</v>
      </c>
      <c r="B36" t="s">
        <v>77</v>
      </c>
      <c r="C36" t="s">
        <v>18</v>
      </c>
      <c r="D36">
        <v>19176.408231914698</v>
      </c>
      <c r="E36">
        <v>3.8788944697268399</v>
      </c>
    </row>
    <row r="37" spans="1:5" x14ac:dyDescent="0.45">
      <c r="A37" t="s">
        <v>76</v>
      </c>
      <c r="B37" t="s">
        <v>78</v>
      </c>
      <c r="C37" t="s">
        <v>18</v>
      </c>
      <c r="D37">
        <v>6297.1059257493098</v>
      </c>
      <c r="E37">
        <v>4.2818323434703096</v>
      </c>
    </row>
    <row r="38" spans="1:5" x14ac:dyDescent="0.45">
      <c r="A38" t="s">
        <v>76</v>
      </c>
      <c r="B38" t="s">
        <v>79</v>
      </c>
      <c r="C38" t="s">
        <v>18</v>
      </c>
      <c r="D38">
        <v>1579.5158919870701</v>
      </c>
      <c r="E38">
        <v>5.7003775621118802</v>
      </c>
    </row>
    <row r="39" spans="1:5" x14ac:dyDescent="0.45">
      <c r="A39" t="s">
        <v>76</v>
      </c>
      <c r="B39" t="s">
        <v>10</v>
      </c>
      <c r="C39" t="s">
        <v>18</v>
      </c>
      <c r="D39">
        <v>4726.1923836994802</v>
      </c>
      <c r="E39">
        <v>4.79066733626376</v>
      </c>
    </row>
    <row r="40" spans="1:5" x14ac:dyDescent="0.45">
      <c r="A40" t="s">
        <v>76</v>
      </c>
      <c r="B40" t="s">
        <v>77</v>
      </c>
      <c r="C40" t="s">
        <v>19</v>
      </c>
      <c r="D40">
        <v>18740.4710330466</v>
      </c>
      <c r="E40">
        <v>3.9334630572235798</v>
      </c>
    </row>
    <row r="41" spans="1:5" x14ac:dyDescent="0.45">
      <c r="A41" t="s">
        <v>76</v>
      </c>
      <c r="B41" t="s">
        <v>78</v>
      </c>
      <c r="C41" t="s">
        <v>19</v>
      </c>
      <c r="D41">
        <v>6178.8430934893104</v>
      </c>
      <c r="E41">
        <v>4.3389393493836597</v>
      </c>
    </row>
    <row r="42" spans="1:5" x14ac:dyDescent="0.45">
      <c r="A42" t="s">
        <v>76</v>
      </c>
      <c r="B42" t="s">
        <v>79</v>
      </c>
      <c r="C42" t="s">
        <v>19</v>
      </c>
      <c r="D42">
        <v>1623.6628020102601</v>
      </c>
      <c r="E42">
        <v>5.8126765981381103</v>
      </c>
    </row>
    <row r="43" spans="1:5" x14ac:dyDescent="0.45">
      <c r="A43" t="s">
        <v>76</v>
      </c>
      <c r="B43" t="s">
        <v>10</v>
      </c>
      <c r="C43" t="s">
        <v>19</v>
      </c>
      <c r="D43">
        <v>4664.1273436452502</v>
      </c>
      <c r="E43">
        <v>4.9277388154626802</v>
      </c>
    </row>
    <row r="44" spans="1:5" x14ac:dyDescent="0.45">
      <c r="A44" t="s">
        <v>76</v>
      </c>
      <c r="B44" t="s">
        <v>77</v>
      </c>
      <c r="C44" t="s">
        <v>20</v>
      </c>
      <c r="D44">
        <v>17613.708971831202</v>
      </c>
      <c r="E44">
        <v>3.8354460201407599</v>
      </c>
    </row>
    <row r="45" spans="1:5" x14ac:dyDescent="0.45">
      <c r="A45" t="s">
        <v>76</v>
      </c>
      <c r="B45" t="s">
        <v>78</v>
      </c>
      <c r="C45" t="s">
        <v>20</v>
      </c>
      <c r="D45">
        <v>5746.8881117726796</v>
      </c>
      <c r="E45">
        <v>4.1890045681975696</v>
      </c>
    </row>
    <row r="46" spans="1:5" x14ac:dyDescent="0.45">
      <c r="A46" t="s">
        <v>76</v>
      </c>
      <c r="B46" t="s">
        <v>79</v>
      </c>
      <c r="C46" t="s">
        <v>20</v>
      </c>
      <c r="D46">
        <v>1485.5118304929999</v>
      </c>
      <c r="E46">
        <v>5.41738228666176</v>
      </c>
    </row>
    <row r="47" spans="1:5" x14ac:dyDescent="0.45">
      <c r="A47" t="s">
        <v>76</v>
      </c>
      <c r="B47" t="s">
        <v>10</v>
      </c>
      <c r="C47" t="s">
        <v>20</v>
      </c>
      <c r="D47">
        <v>4424.5699824540598</v>
      </c>
      <c r="E47">
        <v>4.8085084913831704</v>
      </c>
    </row>
    <row r="48" spans="1:5" x14ac:dyDescent="0.45">
      <c r="A48" t="s">
        <v>76</v>
      </c>
      <c r="B48" t="s">
        <v>77</v>
      </c>
      <c r="C48" t="s">
        <v>21</v>
      </c>
      <c r="D48">
        <v>14225.552654327599</v>
      </c>
      <c r="E48">
        <v>3.8156429881506302</v>
      </c>
    </row>
    <row r="49" spans="1:5" x14ac:dyDescent="0.45">
      <c r="A49" t="s">
        <v>76</v>
      </c>
      <c r="B49" t="s">
        <v>78</v>
      </c>
      <c r="C49" t="s">
        <v>21</v>
      </c>
      <c r="D49">
        <v>4672.88364176492</v>
      </c>
      <c r="E49">
        <v>4.1425201367251203</v>
      </c>
    </row>
    <row r="50" spans="1:5" x14ac:dyDescent="0.45">
      <c r="A50" t="s">
        <v>76</v>
      </c>
      <c r="B50" t="s">
        <v>79</v>
      </c>
      <c r="C50" t="s">
        <v>21</v>
      </c>
      <c r="D50">
        <v>1139.01949229095</v>
      </c>
      <c r="E50">
        <v>5.5622253478649801</v>
      </c>
    </row>
    <row r="51" spans="1:5" x14ac:dyDescent="0.45">
      <c r="A51" t="s">
        <v>76</v>
      </c>
      <c r="B51" t="s">
        <v>10</v>
      </c>
      <c r="C51" t="s">
        <v>21</v>
      </c>
      <c r="D51">
        <v>3464.8359800591902</v>
      </c>
      <c r="E51">
        <v>4.6476712450182696</v>
      </c>
    </row>
    <row r="52" spans="1:5" x14ac:dyDescent="0.45">
      <c r="A52" t="s">
        <v>76</v>
      </c>
      <c r="B52" t="s">
        <v>77</v>
      </c>
      <c r="C52" t="s">
        <v>22</v>
      </c>
      <c r="D52">
        <v>10280.646414004401</v>
      </c>
      <c r="E52">
        <v>4.7421886216871698</v>
      </c>
    </row>
    <row r="53" spans="1:5" x14ac:dyDescent="0.45">
      <c r="A53" t="s">
        <v>76</v>
      </c>
      <c r="B53" t="s">
        <v>78</v>
      </c>
      <c r="C53" t="s">
        <v>22</v>
      </c>
      <c r="D53">
        <v>3310.51319150571</v>
      </c>
      <c r="E53">
        <v>5.24420978308423</v>
      </c>
    </row>
    <row r="54" spans="1:5" x14ac:dyDescent="0.45">
      <c r="A54" t="s">
        <v>76</v>
      </c>
      <c r="B54" t="s">
        <v>79</v>
      </c>
      <c r="C54" t="s">
        <v>22</v>
      </c>
      <c r="D54">
        <v>911.20582049000495</v>
      </c>
      <c r="E54">
        <v>6.7675354814107704</v>
      </c>
    </row>
    <row r="55" spans="1:5" x14ac:dyDescent="0.45">
      <c r="A55" t="s">
        <v>76</v>
      </c>
      <c r="B55" t="s">
        <v>10</v>
      </c>
      <c r="C55" t="s">
        <v>22</v>
      </c>
      <c r="D55">
        <v>2477.14342349242</v>
      </c>
      <c r="E55">
        <v>5.7329125904165101</v>
      </c>
    </row>
    <row r="56" spans="1:5" x14ac:dyDescent="0.45">
      <c r="A56" t="s">
        <v>76</v>
      </c>
      <c r="B56" t="s">
        <v>77</v>
      </c>
      <c r="C56" t="s">
        <v>23</v>
      </c>
      <c r="D56">
        <v>6371.7100209038499</v>
      </c>
      <c r="E56">
        <v>4.4998029529384898</v>
      </c>
    </row>
    <row r="57" spans="1:5" x14ac:dyDescent="0.45">
      <c r="A57" t="s">
        <v>76</v>
      </c>
      <c r="B57" t="s">
        <v>78</v>
      </c>
      <c r="C57" t="s">
        <v>23</v>
      </c>
      <c r="D57">
        <v>2095.8405969181899</v>
      </c>
      <c r="E57">
        <v>4.7745969291618202</v>
      </c>
    </row>
    <row r="58" spans="1:5" x14ac:dyDescent="0.45">
      <c r="A58" t="s">
        <v>76</v>
      </c>
      <c r="B58" t="s">
        <v>79</v>
      </c>
      <c r="C58" t="s">
        <v>23</v>
      </c>
      <c r="D58">
        <v>525.708393577891</v>
      </c>
      <c r="E58">
        <v>6.7137046976148804</v>
      </c>
    </row>
    <row r="59" spans="1:5" x14ac:dyDescent="0.45">
      <c r="A59" t="s">
        <v>76</v>
      </c>
      <c r="B59" t="s">
        <v>10</v>
      </c>
      <c r="C59" t="s">
        <v>23</v>
      </c>
      <c r="D59">
        <v>1643.0305242268701</v>
      </c>
      <c r="E59">
        <v>5.5003905606014198</v>
      </c>
    </row>
    <row r="60" spans="1:5" x14ac:dyDescent="0.45">
      <c r="A60" t="s">
        <v>76</v>
      </c>
      <c r="B60" t="s">
        <v>77</v>
      </c>
      <c r="C60" t="s">
        <v>24</v>
      </c>
      <c r="D60">
        <v>2275.9319978739099</v>
      </c>
      <c r="E60">
        <v>3.48896129999717</v>
      </c>
    </row>
    <row r="61" spans="1:5" x14ac:dyDescent="0.45">
      <c r="A61" t="s">
        <v>76</v>
      </c>
      <c r="B61" t="s">
        <v>78</v>
      </c>
      <c r="C61" t="s">
        <v>24</v>
      </c>
      <c r="D61">
        <v>775.79389955791896</v>
      </c>
      <c r="E61">
        <v>4.0785602786264903</v>
      </c>
    </row>
    <row r="62" spans="1:5" x14ac:dyDescent="0.45">
      <c r="A62" t="s">
        <v>76</v>
      </c>
      <c r="B62" t="s">
        <v>79</v>
      </c>
      <c r="C62" t="s">
        <v>24</v>
      </c>
      <c r="D62">
        <v>186.017666135377</v>
      </c>
      <c r="E62">
        <v>5.1504052969296303</v>
      </c>
    </row>
    <row r="63" spans="1:5" x14ac:dyDescent="0.45">
      <c r="A63" t="s">
        <v>76</v>
      </c>
      <c r="B63" t="s">
        <v>10</v>
      </c>
      <c r="C63" t="s">
        <v>24</v>
      </c>
      <c r="D63">
        <v>624.99101067200502</v>
      </c>
      <c r="E63">
        <v>4.28238224776611</v>
      </c>
    </row>
    <row r="65" spans="1:8" x14ac:dyDescent="0.45">
      <c r="A65" t="s">
        <v>80</v>
      </c>
    </row>
    <row r="67" spans="1:8" x14ac:dyDescent="0.45">
      <c r="A67" t="s">
        <v>1</v>
      </c>
      <c r="B67" t="s">
        <v>2</v>
      </c>
      <c r="C67" t="s">
        <v>4</v>
      </c>
      <c r="D67" t="s">
        <v>26</v>
      </c>
      <c r="E67" t="s">
        <v>27</v>
      </c>
      <c r="F67" t="s">
        <v>28</v>
      </c>
      <c r="G67" t="s">
        <v>29</v>
      </c>
      <c r="H67" t="s">
        <v>30</v>
      </c>
    </row>
    <row r="68" spans="1:8" x14ac:dyDescent="0.45">
      <c r="A68" t="s">
        <v>76</v>
      </c>
      <c r="B68" t="s">
        <v>77</v>
      </c>
      <c r="C68">
        <v>191001.05770088601</v>
      </c>
      <c r="D68">
        <v>7178</v>
      </c>
      <c r="E68">
        <v>3.7580943720432001</v>
      </c>
      <c r="F68">
        <v>3.58864057956866</v>
      </c>
      <c r="G68">
        <v>3.5871616518297502</v>
      </c>
      <c r="H68">
        <v>3.59011950730758</v>
      </c>
    </row>
    <row r="69" spans="1:8" x14ac:dyDescent="0.45">
      <c r="A69" t="s">
        <v>76</v>
      </c>
      <c r="B69" t="s">
        <v>78</v>
      </c>
      <c r="C69">
        <v>63147.3939422146</v>
      </c>
      <c r="D69">
        <v>2594</v>
      </c>
      <c r="E69">
        <v>4.1078496483540299</v>
      </c>
      <c r="F69">
        <v>3.9230888880016801</v>
      </c>
      <c r="G69">
        <v>3.9203743099821602</v>
      </c>
      <c r="H69">
        <v>3.9258034660211898</v>
      </c>
    </row>
    <row r="70" spans="1:8" x14ac:dyDescent="0.45">
      <c r="A70" t="s">
        <v>76</v>
      </c>
      <c r="B70" t="s">
        <v>79</v>
      </c>
      <c r="C70">
        <v>15993.565076270301</v>
      </c>
      <c r="D70">
        <v>878</v>
      </c>
      <c r="E70">
        <v>5.4897078657133704</v>
      </c>
      <c r="F70">
        <v>5.2422611835310597</v>
      </c>
      <c r="G70">
        <v>5.2342728734159998</v>
      </c>
      <c r="H70">
        <v>5.2502494936461197</v>
      </c>
    </row>
    <row r="71" spans="1:8" x14ac:dyDescent="0.45">
      <c r="A71" t="s">
        <v>76</v>
      </c>
      <c r="B71" t="s">
        <v>10</v>
      </c>
      <c r="C71">
        <v>47445.462947367603</v>
      </c>
      <c r="D71">
        <v>2200</v>
      </c>
      <c r="E71">
        <v>4.63690280025408</v>
      </c>
      <c r="F71">
        <v>4.4243843178237396</v>
      </c>
      <c r="G71">
        <v>4.4207957106884299</v>
      </c>
      <c r="H71">
        <v>4.42797292495906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1"/>
  <sheetViews>
    <sheetView workbookViewId="0"/>
  </sheetViews>
  <sheetFormatPr baseColWidth="10" defaultRowHeight="14.25" x14ac:dyDescent="0.45"/>
  <sheetData>
    <row r="1" spans="1:5" x14ac:dyDescent="0.45">
      <c r="A1" t="s">
        <v>81</v>
      </c>
    </row>
    <row r="3" spans="1:5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45">
      <c r="A4" t="s">
        <v>82</v>
      </c>
      <c r="B4" t="s">
        <v>83</v>
      </c>
      <c r="C4" t="s">
        <v>8</v>
      </c>
    </row>
    <row r="5" spans="1:5" x14ac:dyDescent="0.45">
      <c r="A5" t="s">
        <v>82</v>
      </c>
      <c r="B5" t="s">
        <v>84</v>
      </c>
      <c r="C5" t="s">
        <v>8</v>
      </c>
      <c r="D5">
        <v>5128.9435720278198</v>
      </c>
      <c r="E5">
        <v>3.3982666453453398</v>
      </c>
    </row>
    <row r="6" spans="1:5" x14ac:dyDescent="0.45">
      <c r="A6" t="s">
        <v>82</v>
      </c>
      <c r="B6" t="s">
        <v>85</v>
      </c>
      <c r="C6" t="s">
        <v>8</v>
      </c>
    </row>
    <row r="7" spans="1:5" x14ac:dyDescent="0.45">
      <c r="A7" t="s">
        <v>82</v>
      </c>
      <c r="B7" t="s">
        <v>86</v>
      </c>
      <c r="C7" t="s">
        <v>8</v>
      </c>
    </row>
    <row r="8" spans="1:5" x14ac:dyDescent="0.45">
      <c r="A8" t="s">
        <v>82</v>
      </c>
      <c r="B8" t="s">
        <v>83</v>
      </c>
      <c r="C8" t="s">
        <v>11</v>
      </c>
    </row>
    <row r="9" spans="1:5" x14ac:dyDescent="0.45">
      <c r="A9" t="s">
        <v>82</v>
      </c>
      <c r="B9" t="s">
        <v>84</v>
      </c>
      <c r="C9" t="s">
        <v>11</v>
      </c>
      <c r="D9">
        <v>10505.6820960558</v>
      </c>
      <c r="E9">
        <v>3.34174344880689</v>
      </c>
    </row>
    <row r="10" spans="1:5" x14ac:dyDescent="0.45">
      <c r="A10" t="s">
        <v>82</v>
      </c>
      <c r="B10" t="s">
        <v>85</v>
      </c>
      <c r="C10" t="s">
        <v>11</v>
      </c>
    </row>
    <row r="11" spans="1:5" x14ac:dyDescent="0.45">
      <c r="A11" t="s">
        <v>82</v>
      </c>
      <c r="B11" t="s">
        <v>86</v>
      </c>
      <c r="C11" t="s">
        <v>11</v>
      </c>
    </row>
    <row r="12" spans="1:5" x14ac:dyDescent="0.45">
      <c r="A12" t="s">
        <v>82</v>
      </c>
      <c r="B12" t="s">
        <v>83</v>
      </c>
      <c r="C12" t="s">
        <v>12</v>
      </c>
    </row>
    <row r="13" spans="1:5" x14ac:dyDescent="0.45">
      <c r="A13" t="s">
        <v>82</v>
      </c>
      <c r="B13" t="s">
        <v>84</v>
      </c>
      <c r="C13" t="s">
        <v>12</v>
      </c>
      <c r="D13">
        <v>16088.4378988354</v>
      </c>
      <c r="E13">
        <v>3.31839937488864</v>
      </c>
    </row>
    <row r="14" spans="1:5" x14ac:dyDescent="0.45">
      <c r="A14" t="s">
        <v>82</v>
      </c>
      <c r="B14" t="s">
        <v>85</v>
      </c>
      <c r="C14" t="s">
        <v>12</v>
      </c>
    </row>
    <row r="15" spans="1:5" x14ac:dyDescent="0.45">
      <c r="A15" t="s">
        <v>82</v>
      </c>
      <c r="B15" t="s">
        <v>86</v>
      </c>
      <c r="C15" t="s">
        <v>12</v>
      </c>
    </row>
    <row r="16" spans="1:5" x14ac:dyDescent="0.45">
      <c r="A16" t="s">
        <v>82</v>
      </c>
      <c r="B16" t="s">
        <v>83</v>
      </c>
      <c r="C16" t="s">
        <v>13</v>
      </c>
    </row>
    <row r="17" spans="1:5" x14ac:dyDescent="0.45">
      <c r="A17" t="s">
        <v>82</v>
      </c>
      <c r="B17" t="s">
        <v>84</v>
      </c>
      <c r="C17" t="s">
        <v>13</v>
      </c>
      <c r="D17">
        <v>21807.185329150201</v>
      </c>
      <c r="E17">
        <v>3.2986948452172</v>
      </c>
    </row>
    <row r="18" spans="1:5" x14ac:dyDescent="0.45">
      <c r="A18" t="s">
        <v>82</v>
      </c>
      <c r="B18" t="s">
        <v>85</v>
      </c>
      <c r="C18" t="s">
        <v>13</v>
      </c>
    </row>
    <row r="19" spans="1:5" x14ac:dyDescent="0.45">
      <c r="A19" t="s">
        <v>82</v>
      </c>
      <c r="B19" t="s">
        <v>86</v>
      </c>
      <c r="C19" t="s">
        <v>13</v>
      </c>
    </row>
    <row r="20" spans="1:5" x14ac:dyDescent="0.45">
      <c r="A20" t="s">
        <v>82</v>
      </c>
      <c r="B20" t="s">
        <v>83</v>
      </c>
      <c r="C20" t="s">
        <v>14</v>
      </c>
    </row>
    <row r="21" spans="1:5" x14ac:dyDescent="0.45">
      <c r="A21" t="s">
        <v>82</v>
      </c>
      <c r="B21" t="s">
        <v>84</v>
      </c>
      <c r="C21" t="s">
        <v>14</v>
      </c>
    </row>
    <row r="22" spans="1:5" x14ac:dyDescent="0.45">
      <c r="A22" t="s">
        <v>82</v>
      </c>
      <c r="B22" t="s">
        <v>85</v>
      </c>
      <c r="C22" t="s">
        <v>14</v>
      </c>
    </row>
    <row r="23" spans="1:5" x14ac:dyDescent="0.45">
      <c r="A23" t="s">
        <v>82</v>
      </c>
      <c r="B23" t="s">
        <v>86</v>
      </c>
      <c r="C23" t="s">
        <v>14</v>
      </c>
      <c r="D23">
        <v>27290.973166919001</v>
      </c>
      <c r="E23">
        <v>3.4901548841521</v>
      </c>
    </row>
    <row r="24" spans="1:5" x14ac:dyDescent="0.45">
      <c r="A24" t="s">
        <v>82</v>
      </c>
      <c r="B24" t="s">
        <v>83</v>
      </c>
      <c r="C24" t="s">
        <v>15</v>
      </c>
    </row>
    <row r="25" spans="1:5" x14ac:dyDescent="0.45">
      <c r="A25" t="s">
        <v>82</v>
      </c>
      <c r="B25" t="s">
        <v>84</v>
      </c>
      <c r="C25" t="s">
        <v>15</v>
      </c>
    </row>
    <row r="26" spans="1:5" x14ac:dyDescent="0.45">
      <c r="A26" t="s">
        <v>82</v>
      </c>
      <c r="B26" t="s">
        <v>85</v>
      </c>
      <c r="C26" t="s">
        <v>15</v>
      </c>
    </row>
    <row r="27" spans="1:5" x14ac:dyDescent="0.45">
      <c r="A27" t="s">
        <v>82</v>
      </c>
      <c r="B27" t="s">
        <v>86</v>
      </c>
      <c r="C27" t="s">
        <v>15</v>
      </c>
      <c r="D27">
        <v>28281.526188599499</v>
      </c>
      <c r="E27">
        <v>3.52594608430981</v>
      </c>
    </row>
    <row r="28" spans="1:5" x14ac:dyDescent="0.45">
      <c r="A28" t="s">
        <v>82</v>
      </c>
      <c r="B28" t="s">
        <v>83</v>
      </c>
      <c r="C28" t="s">
        <v>16</v>
      </c>
    </row>
    <row r="29" spans="1:5" x14ac:dyDescent="0.45">
      <c r="A29" t="s">
        <v>82</v>
      </c>
      <c r="B29" t="s">
        <v>84</v>
      </c>
      <c r="C29" t="s">
        <v>16</v>
      </c>
    </row>
    <row r="30" spans="1:5" x14ac:dyDescent="0.45">
      <c r="A30" t="s">
        <v>82</v>
      </c>
      <c r="B30" t="s">
        <v>85</v>
      </c>
      <c r="C30" t="s">
        <v>16</v>
      </c>
    </row>
    <row r="31" spans="1:5" x14ac:dyDescent="0.45">
      <c r="A31" t="s">
        <v>82</v>
      </c>
      <c r="B31" t="s">
        <v>86</v>
      </c>
      <c r="C31" t="s">
        <v>16</v>
      </c>
      <c r="D31">
        <v>29592.234070553</v>
      </c>
      <c r="E31">
        <v>3.5631231966301602</v>
      </c>
    </row>
    <row r="32" spans="1:5" x14ac:dyDescent="0.45">
      <c r="A32" t="s">
        <v>82</v>
      </c>
      <c r="B32" t="s">
        <v>83</v>
      </c>
      <c r="C32" t="s">
        <v>17</v>
      </c>
    </row>
    <row r="33" spans="1:5" x14ac:dyDescent="0.45">
      <c r="A33" t="s">
        <v>82</v>
      </c>
      <c r="B33" t="s">
        <v>84</v>
      </c>
      <c r="C33" t="s">
        <v>17</v>
      </c>
    </row>
    <row r="34" spans="1:5" x14ac:dyDescent="0.45">
      <c r="A34" t="s">
        <v>82</v>
      </c>
      <c r="B34" t="s">
        <v>85</v>
      </c>
      <c r="C34" t="s">
        <v>17</v>
      </c>
    </row>
    <row r="35" spans="1:5" x14ac:dyDescent="0.45">
      <c r="A35" t="s">
        <v>82</v>
      </c>
      <c r="B35" t="s">
        <v>86</v>
      </c>
      <c r="C35" t="s">
        <v>17</v>
      </c>
      <c r="D35">
        <v>31654.667014703999</v>
      </c>
      <c r="E35">
        <v>3.5768390935344998</v>
      </c>
    </row>
    <row r="36" spans="1:5" x14ac:dyDescent="0.45">
      <c r="A36" t="s">
        <v>82</v>
      </c>
      <c r="B36" t="s">
        <v>83</v>
      </c>
      <c r="C36" t="s">
        <v>18</v>
      </c>
    </row>
    <row r="37" spans="1:5" x14ac:dyDescent="0.45">
      <c r="A37" t="s">
        <v>82</v>
      </c>
      <c r="B37" t="s">
        <v>84</v>
      </c>
      <c r="C37" t="s">
        <v>18</v>
      </c>
    </row>
    <row r="38" spans="1:5" x14ac:dyDescent="0.45">
      <c r="A38" t="s">
        <v>82</v>
      </c>
      <c r="B38" t="s">
        <v>85</v>
      </c>
      <c r="C38" t="s">
        <v>18</v>
      </c>
      <c r="D38">
        <v>31779.2224333505</v>
      </c>
      <c r="E38">
        <v>4.1848685369574197</v>
      </c>
    </row>
    <row r="39" spans="1:5" x14ac:dyDescent="0.45">
      <c r="A39" t="s">
        <v>82</v>
      </c>
      <c r="B39" t="s">
        <v>86</v>
      </c>
      <c r="C39" t="s">
        <v>18</v>
      </c>
    </row>
    <row r="40" spans="1:5" x14ac:dyDescent="0.45">
      <c r="A40" t="s">
        <v>82</v>
      </c>
      <c r="B40" t="s">
        <v>83</v>
      </c>
      <c r="C40" t="s">
        <v>19</v>
      </c>
    </row>
    <row r="41" spans="1:5" x14ac:dyDescent="0.45">
      <c r="A41" t="s">
        <v>82</v>
      </c>
      <c r="B41" t="s">
        <v>84</v>
      </c>
      <c r="C41" t="s">
        <v>19</v>
      </c>
    </row>
    <row r="42" spans="1:5" x14ac:dyDescent="0.45">
      <c r="A42" t="s">
        <v>82</v>
      </c>
      <c r="B42" t="s">
        <v>85</v>
      </c>
      <c r="C42" t="s">
        <v>19</v>
      </c>
      <c r="D42">
        <v>31207.1042721915</v>
      </c>
      <c r="E42">
        <v>4.2601198393786097</v>
      </c>
    </row>
    <row r="43" spans="1:5" x14ac:dyDescent="0.45">
      <c r="A43" t="s">
        <v>82</v>
      </c>
      <c r="B43" t="s">
        <v>86</v>
      </c>
      <c r="C43" t="s">
        <v>19</v>
      </c>
    </row>
    <row r="44" spans="1:5" x14ac:dyDescent="0.45">
      <c r="A44" t="s">
        <v>82</v>
      </c>
      <c r="B44" t="s">
        <v>83</v>
      </c>
      <c r="C44" t="s">
        <v>20</v>
      </c>
    </row>
    <row r="45" spans="1:5" x14ac:dyDescent="0.45">
      <c r="A45" t="s">
        <v>82</v>
      </c>
      <c r="B45" t="s">
        <v>84</v>
      </c>
      <c r="C45" t="s">
        <v>20</v>
      </c>
    </row>
    <row r="46" spans="1:5" x14ac:dyDescent="0.45">
      <c r="A46" t="s">
        <v>82</v>
      </c>
      <c r="B46" t="s">
        <v>85</v>
      </c>
      <c r="C46" t="s">
        <v>20</v>
      </c>
      <c r="D46">
        <v>29270.6788965509</v>
      </c>
      <c r="E46">
        <v>4.1322354963145296</v>
      </c>
    </row>
    <row r="47" spans="1:5" x14ac:dyDescent="0.45">
      <c r="A47" t="s">
        <v>82</v>
      </c>
      <c r="B47" t="s">
        <v>86</v>
      </c>
      <c r="C47" t="s">
        <v>20</v>
      </c>
    </row>
    <row r="48" spans="1:5" x14ac:dyDescent="0.45">
      <c r="A48" t="s">
        <v>82</v>
      </c>
      <c r="B48" t="s">
        <v>83</v>
      </c>
      <c r="C48" t="s">
        <v>21</v>
      </c>
    </row>
    <row r="49" spans="1:5" x14ac:dyDescent="0.45">
      <c r="A49" t="s">
        <v>82</v>
      </c>
      <c r="B49" t="s">
        <v>84</v>
      </c>
      <c r="C49" t="s">
        <v>21</v>
      </c>
    </row>
    <row r="50" spans="1:5" x14ac:dyDescent="0.45">
      <c r="A50" t="s">
        <v>82</v>
      </c>
      <c r="B50" t="s">
        <v>85</v>
      </c>
      <c r="C50" t="s">
        <v>21</v>
      </c>
      <c r="D50">
        <v>23502.291768442599</v>
      </c>
      <c r="E50">
        <v>4.0879437380911403</v>
      </c>
    </row>
    <row r="51" spans="1:5" x14ac:dyDescent="0.45">
      <c r="A51" t="s">
        <v>82</v>
      </c>
      <c r="B51" t="s">
        <v>86</v>
      </c>
      <c r="C51" t="s">
        <v>21</v>
      </c>
    </row>
    <row r="52" spans="1:5" x14ac:dyDescent="0.45">
      <c r="A52" t="s">
        <v>82</v>
      </c>
      <c r="B52" t="s">
        <v>83</v>
      </c>
      <c r="C52" t="s">
        <v>22</v>
      </c>
      <c r="D52">
        <v>16979.5088494925</v>
      </c>
      <c r="E52">
        <v>5.0932954140443396</v>
      </c>
    </row>
    <row r="53" spans="1:5" x14ac:dyDescent="0.45">
      <c r="A53" t="s">
        <v>82</v>
      </c>
      <c r="B53" t="s">
        <v>84</v>
      </c>
      <c r="C53" t="s">
        <v>22</v>
      </c>
    </row>
    <row r="54" spans="1:5" x14ac:dyDescent="0.45">
      <c r="A54" t="s">
        <v>82</v>
      </c>
      <c r="B54" t="s">
        <v>85</v>
      </c>
      <c r="C54" t="s">
        <v>22</v>
      </c>
    </row>
    <row r="55" spans="1:5" x14ac:dyDescent="0.45">
      <c r="A55" t="s">
        <v>82</v>
      </c>
      <c r="B55" t="s">
        <v>86</v>
      </c>
      <c r="C55" t="s">
        <v>22</v>
      </c>
    </row>
    <row r="56" spans="1:5" x14ac:dyDescent="0.45">
      <c r="A56" t="s">
        <v>82</v>
      </c>
      <c r="B56" t="s">
        <v>83</v>
      </c>
      <c r="C56" t="s">
        <v>23</v>
      </c>
      <c r="D56">
        <v>10636.2895356268</v>
      </c>
      <c r="E56">
        <v>4.8179389975722602</v>
      </c>
    </row>
    <row r="57" spans="1:5" x14ac:dyDescent="0.45">
      <c r="A57" t="s">
        <v>82</v>
      </c>
      <c r="B57" t="s">
        <v>84</v>
      </c>
      <c r="C57" t="s">
        <v>23</v>
      </c>
    </row>
    <row r="58" spans="1:5" x14ac:dyDescent="0.45">
      <c r="A58" t="s">
        <v>82</v>
      </c>
      <c r="B58" t="s">
        <v>85</v>
      </c>
      <c r="C58" t="s">
        <v>23</v>
      </c>
    </row>
    <row r="59" spans="1:5" x14ac:dyDescent="0.45">
      <c r="A59" t="s">
        <v>82</v>
      </c>
      <c r="B59" t="s">
        <v>86</v>
      </c>
      <c r="C59" t="s">
        <v>23</v>
      </c>
    </row>
    <row r="60" spans="1:5" x14ac:dyDescent="0.45">
      <c r="A60" t="s">
        <v>82</v>
      </c>
      <c r="B60" t="s">
        <v>83</v>
      </c>
      <c r="C60" t="s">
        <v>24</v>
      </c>
      <c r="D60">
        <v>3862.7345742392099</v>
      </c>
      <c r="E60">
        <v>3.8157624718880201</v>
      </c>
    </row>
    <row r="61" spans="1:5" x14ac:dyDescent="0.45">
      <c r="A61" t="s">
        <v>82</v>
      </c>
      <c r="B61" t="s">
        <v>84</v>
      </c>
      <c r="C61" t="s">
        <v>24</v>
      </c>
    </row>
    <row r="62" spans="1:5" x14ac:dyDescent="0.45">
      <c r="A62" t="s">
        <v>82</v>
      </c>
      <c r="B62" t="s">
        <v>85</v>
      </c>
      <c r="C62" t="s">
        <v>24</v>
      </c>
    </row>
    <row r="63" spans="1:5" x14ac:dyDescent="0.45">
      <c r="A63" t="s">
        <v>82</v>
      </c>
      <c r="B63" t="s">
        <v>86</v>
      </c>
      <c r="C63" t="s">
        <v>24</v>
      </c>
    </row>
    <row r="65" spans="1:8" x14ac:dyDescent="0.45">
      <c r="A65" t="s">
        <v>87</v>
      </c>
    </row>
    <row r="67" spans="1:8" x14ac:dyDescent="0.45">
      <c r="A67" t="s">
        <v>1</v>
      </c>
      <c r="B67" t="s">
        <v>2</v>
      </c>
      <c r="C67" t="s">
        <v>4</v>
      </c>
      <c r="D67" t="s">
        <v>26</v>
      </c>
      <c r="E67" t="s">
        <v>27</v>
      </c>
      <c r="F67" t="s">
        <v>28</v>
      </c>
      <c r="G67" t="s">
        <v>29</v>
      </c>
      <c r="H67" t="s">
        <v>30</v>
      </c>
    </row>
    <row r="68" spans="1:8" x14ac:dyDescent="0.45">
      <c r="A68" t="s">
        <v>82</v>
      </c>
      <c r="B68" t="s">
        <v>83</v>
      </c>
      <c r="C68">
        <v>31478.532959358501</v>
      </c>
      <c r="D68">
        <v>1771</v>
      </c>
      <c r="E68">
        <v>5.6260563422269803</v>
      </c>
      <c r="F68">
        <v>4.8434889428647896</v>
      </c>
      <c r="G68">
        <v>4.8379052681550299</v>
      </c>
      <c r="H68">
        <v>4.84907261757456</v>
      </c>
    </row>
    <row r="69" spans="1:8" x14ac:dyDescent="0.45">
      <c r="A69" t="s">
        <v>82</v>
      </c>
      <c r="B69" t="s">
        <v>85</v>
      </c>
      <c r="C69">
        <v>115759.29737053601</v>
      </c>
      <c r="D69">
        <v>5046</v>
      </c>
      <c r="E69">
        <v>4.35904511742861</v>
      </c>
      <c r="F69">
        <v>4.1721681791746796</v>
      </c>
      <c r="G69">
        <v>4.1700811386501604</v>
      </c>
      <c r="H69">
        <v>4.1742552196992104</v>
      </c>
    </row>
    <row r="70" spans="1:8" x14ac:dyDescent="0.45">
      <c r="A70" t="s">
        <v>82</v>
      </c>
      <c r="B70" t="s">
        <v>86</v>
      </c>
      <c r="C70">
        <v>116819.400440775</v>
      </c>
      <c r="D70">
        <v>4220</v>
      </c>
      <c r="E70">
        <v>3.61241367793138</v>
      </c>
      <c r="F70">
        <v>3.5407927483106101</v>
      </c>
      <c r="G70">
        <v>3.5389470864123802</v>
      </c>
      <c r="H70">
        <v>3.54263841020884</v>
      </c>
    </row>
    <row r="71" spans="1:8" x14ac:dyDescent="0.45">
      <c r="A71" t="s">
        <v>82</v>
      </c>
      <c r="B71" t="s">
        <v>84</v>
      </c>
      <c r="C71">
        <v>53530.248896069301</v>
      </c>
      <c r="D71">
        <v>1813</v>
      </c>
      <c r="E71">
        <v>3.3868701106172701</v>
      </c>
      <c r="F71">
        <v>3.3226059649402702</v>
      </c>
      <c r="G71">
        <v>3.3200485593643201</v>
      </c>
      <c r="H71">
        <v>3.32516337051621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19"/>
  <sheetViews>
    <sheetView workbookViewId="0"/>
  </sheetViews>
  <sheetFormatPr baseColWidth="10" defaultRowHeight="14.25" x14ac:dyDescent="0.45"/>
  <sheetData>
    <row r="1" spans="1:5" x14ac:dyDescent="0.45">
      <c r="A1" t="s">
        <v>88</v>
      </c>
    </row>
    <row r="3" spans="1:5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45">
      <c r="A4" t="s">
        <v>89</v>
      </c>
      <c r="B4" t="s">
        <v>90</v>
      </c>
      <c r="C4" t="s">
        <v>8</v>
      </c>
      <c r="D4">
        <v>511.532254672877</v>
      </c>
      <c r="E4">
        <v>3.2377623871922401</v>
      </c>
    </row>
    <row r="5" spans="1:5" x14ac:dyDescent="0.45">
      <c r="A5" t="s">
        <v>89</v>
      </c>
      <c r="B5" t="s">
        <v>91</v>
      </c>
      <c r="C5" t="s">
        <v>8</v>
      </c>
      <c r="D5">
        <v>426.03049206515101</v>
      </c>
      <c r="E5">
        <v>2.74940998060395</v>
      </c>
    </row>
    <row r="6" spans="1:5" x14ac:dyDescent="0.45">
      <c r="A6" t="s">
        <v>89</v>
      </c>
      <c r="B6" t="s">
        <v>79</v>
      </c>
      <c r="C6" t="s">
        <v>8</v>
      </c>
      <c r="D6">
        <v>775.44362690282799</v>
      </c>
      <c r="E6">
        <v>3.4006671569098699</v>
      </c>
    </row>
    <row r="7" spans="1:5" x14ac:dyDescent="0.45">
      <c r="A7" t="s">
        <v>89</v>
      </c>
      <c r="B7" t="s">
        <v>92</v>
      </c>
      <c r="C7" t="s">
        <v>8</v>
      </c>
      <c r="D7">
        <v>773.02546840683999</v>
      </c>
      <c r="E7">
        <v>3.5661206719409702</v>
      </c>
    </row>
    <row r="8" spans="1:5" x14ac:dyDescent="0.45">
      <c r="A8" t="s">
        <v>89</v>
      </c>
      <c r="B8" t="s">
        <v>93</v>
      </c>
      <c r="C8" t="s">
        <v>8</v>
      </c>
      <c r="D8">
        <v>2097.0184847466498</v>
      </c>
      <c r="E8">
        <v>3.0778451771095501</v>
      </c>
    </row>
    <row r="9" spans="1:5" x14ac:dyDescent="0.45">
      <c r="A9" t="s">
        <v>89</v>
      </c>
      <c r="B9" t="s">
        <v>94</v>
      </c>
      <c r="C9" t="s">
        <v>8</v>
      </c>
      <c r="D9">
        <v>129.37116811909499</v>
      </c>
      <c r="E9">
        <v>4.6543261625035104</v>
      </c>
    </row>
    <row r="10" spans="1:5" x14ac:dyDescent="0.45">
      <c r="A10" t="s">
        <v>89</v>
      </c>
      <c r="B10" t="s">
        <v>95</v>
      </c>
      <c r="C10" t="s">
        <v>8</v>
      </c>
      <c r="D10">
        <v>416.52207711437899</v>
      </c>
      <c r="E10">
        <v>5.1661220018481302</v>
      </c>
    </row>
    <row r="11" spans="1:5" x14ac:dyDescent="0.45">
      <c r="A11" t="s">
        <v>89</v>
      </c>
      <c r="B11" t="s">
        <v>90</v>
      </c>
      <c r="C11" t="s">
        <v>11</v>
      </c>
      <c r="D11">
        <v>1107.0733148459799</v>
      </c>
      <c r="E11">
        <v>3.1280731228314398</v>
      </c>
    </row>
    <row r="12" spans="1:5" x14ac:dyDescent="0.45">
      <c r="A12" t="s">
        <v>89</v>
      </c>
      <c r="B12" t="s">
        <v>91</v>
      </c>
      <c r="C12" t="s">
        <v>11</v>
      </c>
      <c r="D12">
        <v>844.93966203771799</v>
      </c>
      <c r="E12">
        <v>2.9213818055788998</v>
      </c>
    </row>
    <row r="13" spans="1:5" x14ac:dyDescent="0.45">
      <c r="A13" t="s">
        <v>89</v>
      </c>
      <c r="B13" t="s">
        <v>79</v>
      </c>
      <c r="C13" t="s">
        <v>11</v>
      </c>
      <c r="D13">
        <v>1613.4355704137499</v>
      </c>
      <c r="E13">
        <v>3.35496225894211</v>
      </c>
    </row>
    <row r="14" spans="1:5" x14ac:dyDescent="0.45">
      <c r="A14" t="s">
        <v>89</v>
      </c>
      <c r="B14" t="s">
        <v>92</v>
      </c>
      <c r="C14" t="s">
        <v>11</v>
      </c>
      <c r="D14">
        <v>1639.0244395877801</v>
      </c>
      <c r="E14">
        <v>3.3076815915232598</v>
      </c>
    </row>
    <row r="15" spans="1:5" x14ac:dyDescent="0.45">
      <c r="A15" t="s">
        <v>89</v>
      </c>
      <c r="B15" t="s">
        <v>93</v>
      </c>
      <c r="C15" t="s">
        <v>11</v>
      </c>
      <c r="D15">
        <v>4233.7081912440599</v>
      </c>
      <c r="E15">
        <v>3.1132499652151102</v>
      </c>
    </row>
    <row r="16" spans="1:5" x14ac:dyDescent="0.45">
      <c r="A16" t="s">
        <v>89</v>
      </c>
      <c r="B16" t="s">
        <v>94</v>
      </c>
      <c r="C16" t="s">
        <v>11</v>
      </c>
      <c r="D16">
        <v>258.01244387469302</v>
      </c>
      <c r="E16">
        <v>4.26822448823477</v>
      </c>
    </row>
    <row r="17" spans="1:5" x14ac:dyDescent="0.45">
      <c r="A17" t="s">
        <v>89</v>
      </c>
      <c r="B17" t="s">
        <v>95</v>
      </c>
      <c r="C17" t="s">
        <v>11</v>
      </c>
      <c r="D17">
        <v>809.48847405182005</v>
      </c>
      <c r="E17">
        <v>5.0150971755886102</v>
      </c>
    </row>
    <row r="18" spans="1:5" x14ac:dyDescent="0.45">
      <c r="A18" t="s">
        <v>89</v>
      </c>
      <c r="B18" t="s">
        <v>90</v>
      </c>
      <c r="C18" t="s">
        <v>12</v>
      </c>
      <c r="D18">
        <v>1732.1819304102801</v>
      </c>
      <c r="E18">
        <v>3.1620229095128298</v>
      </c>
    </row>
    <row r="19" spans="1:5" x14ac:dyDescent="0.45">
      <c r="A19" t="s">
        <v>89</v>
      </c>
      <c r="B19" t="s">
        <v>91</v>
      </c>
      <c r="C19" t="s">
        <v>12</v>
      </c>
      <c r="D19">
        <v>1275.4535288802999</v>
      </c>
      <c r="E19">
        <v>2.8502552516562498</v>
      </c>
    </row>
    <row r="20" spans="1:5" x14ac:dyDescent="0.45">
      <c r="A20" t="s">
        <v>89</v>
      </c>
      <c r="B20" t="s">
        <v>79</v>
      </c>
      <c r="C20" t="s">
        <v>12</v>
      </c>
      <c r="D20">
        <v>2514.6984317217898</v>
      </c>
      <c r="E20">
        <v>3.2967839511494001</v>
      </c>
    </row>
    <row r="21" spans="1:5" x14ac:dyDescent="0.45">
      <c r="A21" t="s">
        <v>89</v>
      </c>
      <c r="B21" t="s">
        <v>92</v>
      </c>
      <c r="C21" t="s">
        <v>12</v>
      </c>
      <c r="D21">
        <v>2562.9562664611999</v>
      </c>
      <c r="E21">
        <v>3.37974412034482</v>
      </c>
    </row>
    <row r="22" spans="1:5" x14ac:dyDescent="0.45">
      <c r="A22" t="s">
        <v>89</v>
      </c>
      <c r="B22" t="s">
        <v>93</v>
      </c>
      <c r="C22" t="s">
        <v>12</v>
      </c>
      <c r="D22">
        <v>6433.5474235024303</v>
      </c>
      <c r="E22">
        <v>3.0828137772483402</v>
      </c>
    </row>
    <row r="23" spans="1:5" x14ac:dyDescent="0.45">
      <c r="A23" t="s">
        <v>89</v>
      </c>
      <c r="B23" t="s">
        <v>94</v>
      </c>
      <c r="C23" t="s">
        <v>12</v>
      </c>
      <c r="D23">
        <v>418.98215351547299</v>
      </c>
      <c r="E23">
        <v>4.2871569385408703</v>
      </c>
    </row>
    <row r="24" spans="1:5" x14ac:dyDescent="0.45">
      <c r="A24" t="s">
        <v>89</v>
      </c>
      <c r="B24" t="s">
        <v>95</v>
      </c>
      <c r="C24" t="s">
        <v>12</v>
      </c>
      <c r="D24">
        <v>1150.61816434399</v>
      </c>
      <c r="E24">
        <v>4.9478364693325396</v>
      </c>
    </row>
    <row r="25" spans="1:5" x14ac:dyDescent="0.45">
      <c r="A25" t="s">
        <v>89</v>
      </c>
      <c r="B25" t="s">
        <v>90</v>
      </c>
      <c r="C25" t="s">
        <v>13</v>
      </c>
      <c r="D25">
        <v>2315.3755243668402</v>
      </c>
      <c r="E25">
        <v>3.1250244386579999</v>
      </c>
    </row>
    <row r="26" spans="1:5" x14ac:dyDescent="0.45">
      <c r="A26" t="s">
        <v>89</v>
      </c>
      <c r="B26" t="s">
        <v>91</v>
      </c>
      <c r="C26" t="s">
        <v>13</v>
      </c>
      <c r="D26">
        <v>1673.1095094546799</v>
      </c>
      <c r="E26">
        <v>2.73926047684441</v>
      </c>
    </row>
    <row r="27" spans="1:5" x14ac:dyDescent="0.45">
      <c r="A27" t="s">
        <v>89</v>
      </c>
      <c r="B27" t="s">
        <v>79</v>
      </c>
      <c r="C27" t="s">
        <v>13</v>
      </c>
      <c r="D27">
        <v>3348.4979753931998</v>
      </c>
      <c r="E27">
        <v>3.2881630480009898</v>
      </c>
    </row>
    <row r="28" spans="1:5" x14ac:dyDescent="0.45">
      <c r="A28" t="s">
        <v>89</v>
      </c>
      <c r="B28" t="s">
        <v>92</v>
      </c>
      <c r="C28" t="s">
        <v>13</v>
      </c>
      <c r="D28">
        <v>3486.4869225655798</v>
      </c>
      <c r="E28">
        <v>3.2657361368227602</v>
      </c>
    </row>
    <row r="29" spans="1:5" x14ac:dyDescent="0.45">
      <c r="A29" t="s">
        <v>89</v>
      </c>
      <c r="B29" t="s">
        <v>93</v>
      </c>
      <c r="C29" t="s">
        <v>13</v>
      </c>
      <c r="D29">
        <v>8768.0862327771101</v>
      </c>
      <c r="E29">
        <v>3.09466386091849</v>
      </c>
    </row>
    <row r="30" spans="1:5" x14ac:dyDescent="0.45">
      <c r="A30" t="s">
        <v>89</v>
      </c>
      <c r="B30" t="s">
        <v>94</v>
      </c>
      <c r="C30" t="s">
        <v>13</v>
      </c>
      <c r="D30">
        <v>564.26707190606498</v>
      </c>
      <c r="E30">
        <v>4.2139953799641896</v>
      </c>
    </row>
    <row r="31" spans="1:5" x14ac:dyDescent="0.45">
      <c r="A31" t="s">
        <v>89</v>
      </c>
      <c r="B31" t="s">
        <v>95</v>
      </c>
      <c r="C31" t="s">
        <v>13</v>
      </c>
      <c r="D31">
        <v>1651.36209268673</v>
      </c>
      <c r="E31">
        <v>4.97050885972802</v>
      </c>
    </row>
    <row r="32" spans="1:5" x14ac:dyDescent="0.45">
      <c r="A32" t="s">
        <v>89</v>
      </c>
      <c r="B32" t="s">
        <v>90</v>
      </c>
      <c r="C32" t="s">
        <v>14</v>
      </c>
      <c r="D32">
        <v>2959.9142647520798</v>
      </c>
      <c r="E32">
        <v>3.2482612973906302</v>
      </c>
    </row>
    <row r="33" spans="1:5" x14ac:dyDescent="0.45">
      <c r="A33" t="s">
        <v>89</v>
      </c>
      <c r="B33" t="s">
        <v>91</v>
      </c>
      <c r="C33" t="s">
        <v>14</v>
      </c>
      <c r="D33">
        <v>2207.0575291802002</v>
      </c>
      <c r="E33">
        <v>2.9904792805150202</v>
      </c>
    </row>
    <row r="34" spans="1:5" x14ac:dyDescent="0.45">
      <c r="A34" t="s">
        <v>89</v>
      </c>
      <c r="B34" t="s">
        <v>79</v>
      </c>
      <c r="C34" t="s">
        <v>14</v>
      </c>
      <c r="D34">
        <v>4126.21930993962</v>
      </c>
      <c r="E34">
        <v>3.5251172037632799</v>
      </c>
    </row>
    <row r="35" spans="1:5" x14ac:dyDescent="0.45">
      <c r="A35" t="s">
        <v>89</v>
      </c>
      <c r="B35" t="s">
        <v>92</v>
      </c>
      <c r="C35" t="s">
        <v>14</v>
      </c>
      <c r="D35">
        <v>4322.4359276899504</v>
      </c>
      <c r="E35">
        <v>3.5132823594313898</v>
      </c>
    </row>
    <row r="36" spans="1:5" x14ac:dyDescent="0.45">
      <c r="A36" t="s">
        <v>89</v>
      </c>
      <c r="B36" t="s">
        <v>93</v>
      </c>
      <c r="C36" t="s">
        <v>14</v>
      </c>
      <c r="D36">
        <v>10805.673890165101</v>
      </c>
      <c r="E36">
        <v>3.21519873780051</v>
      </c>
    </row>
    <row r="37" spans="1:5" x14ac:dyDescent="0.45">
      <c r="A37" t="s">
        <v>89</v>
      </c>
      <c r="B37" t="s">
        <v>94</v>
      </c>
      <c r="C37" t="s">
        <v>14</v>
      </c>
      <c r="D37">
        <v>803.44502662725301</v>
      </c>
      <c r="E37">
        <v>4.7214091918324801</v>
      </c>
    </row>
    <row r="38" spans="1:5" x14ac:dyDescent="0.45">
      <c r="A38" t="s">
        <v>89</v>
      </c>
      <c r="B38" t="s">
        <v>95</v>
      </c>
      <c r="C38" t="s">
        <v>14</v>
      </c>
      <c r="D38">
        <v>2066.2272185648199</v>
      </c>
      <c r="E38">
        <v>5.2113640146857101</v>
      </c>
    </row>
    <row r="39" spans="1:5" x14ac:dyDescent="0.45">
      <c r="A39" t="s">
        <v>89</v>
      </c>
      <c r="B39" t="s">
        <v>90</v>
      </c>
      <c r="C39" t="s">
        <v>15</v>
      </c>
      <c r="D39">
        <v>3122.38052178015</v>
      </c>
      <c r="E39">
        <v>3.23086360654982</v>
      </c>
    </row>
    <row r="40" spans="1:5" x14ac:dyDescent="0.45">
      <c r="A40" t="s">
        <v>89</v>
      </c>
      <c r="B40" t="s">
        <v>91</v>
      </c>
      <c r="C40" t="s">
        <v>15</v>
      </c>
      <c r="D40">
        <v>2229.8820659615399</v>
      </c>
      <c r="E40">
        <v>3.04828476249617</v>
      </c>
    </row>
    <row r="41" spans="1:5" x14ac:dyDescent="0.45">
      <c r="A41" t="s">
        <v>89</v>
      </c>
      <c r="B41" t="s">
        <v>79</v>
      </c>
      <c r="C41" t="s">
        <v>15</v>
      </c>
      <c r="D41">
        <v>4268.46179419495</v>
      </c>
      <c r="E41">
        <v>3.4994143881877502</v>
      </c>
    </row>
    <row r="42" spans="1:5" x14ac:dyDescent="0.45">
      <c r="A42" t="s">
        <v>89</v>
      </c>
      <c r="B42" t="s">
        <v>92</v>
      </c>
      <c r="C42" t="s">
        <v>15</v>
      </c>
      <c r="D42">
        <v>4567.8654318639501</v>
      </c>
      <c r="E42">
        <v>3.5425899404007</v>
      </c>
    </row>
    <row r="43" spans="1:5" x14ac:dyDescent="0.45">
      <c r="A43" t="s">
        <v>89</v>
      </c>
      <c r="B43" t="s">
        <v>93</v>
      </c>
      <c r="C43" t="s">
        <v>15</v>
      </c>
      <c r="D43">
        <v>10782.4981644294</v>
      </c>
      <c r="E43">
        <v>3.2024328183183202</v>
      </c>
    </row>
    <row r="44" spans="1:5" x14ac:dyDescent="0.45">
      <c r="A44" t="s">
        <v>89</v>
      </c>
      <c r="B44" t="s">
        <v>94</v>
      </c>
      <c r="C44" t="s">
        <v>15</v>
      </c>
      <c r="D44">
        <v>1019.51284019745</v>
      </c>
      <c r="E44">
        <v>4.9388213417872802</v>
      </c>
    </row>
    <row r="45" spans="1:5" x14ac:dyDescent="0.45">
      <c r="A45" t="s">
        <v>89</v>
      </c>
      <c r="B45" t="s">
        <v>95</v>
      </c>
      <c r="C45" t="s">
        <v>15</v>
      </c>
      <c r="D45">
        <v>2290.9253701720199</v>
      </c>
      <c r="E45">
        <v>5.3031962800045003</v>
      </c>
    </row>
    <row r="46" spans="1:5" x14ac:dyDescent="0.45">
      <c r="A46" t="s">
        <v>89</v>
      </c>
      <c r="B46" t="s">
        <v>90</v>
      </c>
      <c r="C46" t="s">
        <v>16</v>
      </c>
      <c r="D46">
        <v>3188.8182503555599</v>
      </c>
      <c r="E46">
        <v>3.3911379221539701</v>
      </c>
    </row>
    <row r="47" spans="1:5" x14ac:dyDescent="0.45">
      <c r="A47" t="s">
        <v>89</v>
      </c>
      <c r="B47" t="s">
        <v>91</v>
      </c>
      <c r="C47" t="s">
        <v>16</v>
      </c>
      <c r="D47">
        <v>2420.2346151175302</v>
      </c>
      <c r="E47">
        <v>2.9665044818189101</v>
      </c>
    </row>
    <row r="48" spans="1:5" x14ac:dyDescent="0.45">
      <c r="A48" t="s">
        <v>89</v>
      </c>
      <c r="B48" t="s">
        <v>79</v>
      </c>
      <c r="C48" t="s">
        <v>16</v>
      </c>
      <c r="D48">
        <v>4394.5186374854802</v>
      </c>
      <c r="E48">
        <v>3.5240651983345401</v>
      </c>
    </row>
    <row r="49" spans="1:5" x14ac:dyDescent="0.45">
      <c r="A49" t="s">
        <v>89</v>
      </c>
      <c r="B49" t="s">
        <v>92</v>
      </c>
      <c r="C49" t="s">
        <v>16</v>
      </c>
      <c r="D49">
        <v>4769.93933636769</v>
      </c>
      <c r="E49">
        <v>3.5732774492444301</v>
      </c>
    </row>
    <row r="50" spans="1:5" x14ac:dyDescent="0.45">
      <c r="A50" t="s">
        <v>89</v>
      </c>
      <c r="B50" t="s">
        <v>93</v>
      </c>
      <c r="C50" t="s">
        <v>16</v>
      </c>
      <c r="D50">
        <v>11223.4152686958</v>
      </c>
      <c r="E50">
        <v>3.2360207206470299</v>
      </c>
    </row>
    <row r="51" spans="1:5" x14ac:dyDescent="0.45">
      <c r="A51" t="s">
        <v>89</v>
      </c>
      <c r="B51" t="s">
        <v>94</v>
      </c>
      <c r="C51" t="s">
        <v>16</v>
      </c>
      <c r="D51">
        <v>1214.54012035397</v>
      </c>
      <c r="E51">
        <v>4.9555476567149803</v>
      </c>
    </row>
    <row r="52" spans="1:5" x14ac:dyDescent="0.45">
      <c r="A52" t="s">
        <v>89</v>
      </c>
      <c r="B52" t="s">
        <v>95</v>
      </c>
      <c r="C52" t="s">
        <v>16</v>
      </c>
      <c r="D52">
        <v>2380.7678421769601</v>
      </c>
      <c r="E52">
        <v>5.2834272345194604</v>
      </c>
    </row>
    <row r="53" spans="1:5" x14ac:dyDescent="0.45">
      <c r="A53" t="s">
        <v>89</v>
      </c>
      <c r="B53" t="s">
        <v>90</v>
      </c>
      <c r="C53" t="s">
        <v>17</v>
      </c>
      <c r="D53">
        <v>3511.9426529013899</v>
      </c>
      <c r="E53">
        <v>3.3483148460152199</v>
      </c>
    </row>
    <row r="54" spans="1:5" x14ac:dyDescent="0.45">
      <c r="A54" t="s">
        <v>89</v>
      </c>
      <c r="B54" t="s">
        <v>91</v>
      </c>
      <c r="C54" t="s">
        <v>17</v>
      </c>
      <c r="D54">
        <v>2584.32231171074</v>
      </c>
      <c r="E54">
        <v>3.09288487521696</v>
      </c>
    </row>
    <row r="55" spans="1:5" x14ac:dyDescent="0.45">
      <c r="A55" t="s">
        <v>89</v>
      </c>
      <c r="B55" t="s">
        <v>79</v>
      </c>
      <c r="C55" t="s">
        <v>17</v>
      </c>
      <c r="D55">
        <v>4610.7945703715604</v>
      </c>
      <c r="E55">
        <v>3.5414691115118599</v>
      </c>
    </row>
    <row r="56" spans="1:5" x14ac:dyDescent="0.45">
      <c r="A56" t="s">
        <v>89</v>
      </c>
      <c r="B56" t="s">
        <v>92</v>
      </c>
      <c r="C56" t="s">
        <v>17</v>
      </c>
      <c r="D56">
        <v>5214.5189955362302</v>
      </c>
      <c r="E56">
        <v>3.5896900967835701</v>
      </c>
    </row>
    <row r="57" spans="1:5" x14ac:dyDescent="0.45">
      <c r="A57" t="s">
        <v>89</v>
      </c>
      <c r="B57" t="s">
        <v>93</v>
      </c>
      <c r="C57" t="s">
        <v>17</v>
      </c>
      <c r="D57">
        <v>11581.6112175446</v>
      </c>
      <c r="E57">
        <v>3.1769382906088799</v>
      </c>
    </row>
    <row r="58" spans="1:5" x14ac:dyDescent="0.45">
      <c r="A58" t="s">
        <v>89</v>
      </c>
      <c r="B58" t="s">
        <v>94</v>
      </c>
      <c r="C58" t="s">
        <v>17</v>
      </c>
      <c r="D58">
        <v>1576.35607694493</v>
      </c>
      <c r="E58">
        <v>5.1018719426570103</v>
      </c>
    </row>
    <row r="59" spans="1:5" x14ac:dyDescent="0.45">
      <c r="A59" t="s">
        <v>89</v>
      </c>
      <c r="B59" t="s">
        <v>95</v>
      </c>
      <c r="C59" t="s">
        <v>17</v>
      </c>
      <c r="D59">
        <v>2575.1211896945701</v>
      </c>
      <c r="E59">
        <v>5.2764990940692504</v>
      </c>
    </row>
    <row r="60" spans="1:5" x14ac:dyDescent="0.45">
      <c r="A60" t="s">
        <v>89</v>
      </c>
      <c r="B60" t="s">
        <v>90</v>
      </c>
      <c r="C60" t="s">
        <v>18</v>
      </c>
      <c r="D60">
        <v>3659.1725762923002</v>
      </c>
      <c r="E60">
        <v>3.96787590774264</v>
      </c>
    </row>
    <row r="61" spans="1:5" x14ac:dyDescent="0.45">
      <c r="A61" t="s">
        <v>89</v>
      </c>
      <c r="B61" t="s">
        <v>91</v>
      </c>
      <c r="C61" t="s">
        <v>18</v>
      </c>
      <c r="D61">
        <v>2560.2519622477698</v>
      </c>
      <c r="E61">
        <v>3.61277705573842</v>
      </c>
    </row>
    <row r="62" spans="1:5" x14ac:dyDescent="0.45">
      <c r="A62" t="s">
        <v>89</v>
      </c>
      <c r="B62" t="s">
        <v>79</v>
      </c>
      <c r="C62" t="s">
        <v>18</v>
      </c>
      <c r="D62">
        <v>4676.2822080737096</v>
      </c>
      <c r="E62">
        <v>4.0094626105052003</v>
      </c>
    </row>
    <row r="63" spans="1:5" x14ac:dyDescent="0.45">
      <c r="A63" t="s">
        <v>89</v>
      </c>
      <c r="B63" t="s">
        <v>92</v>
      </c>
      <c r="C63" t="s">
        <v>18</v>
      </c>
      <c r="D63">
        <v>5305.1430768609798</v>
      </c>
      <c r="E63">
        <v>4.1426226022090802</v>
      </c>
    </row>
    <row r="64" spans="1:5" x14ac:dyDescent="0.45">
      <c r="A64" t="s">
        <v>89</v>
      </c>
      <c r="B64" t="s">
        <v>93</v>
      </c>
      <c r="C64" t="s">
        <v>18</v>
      </c>
      <c r="D64">
        <v>10882.0687515064</v>
      </c>
      <c r="E64">
        <v>3.6435169016533</v>
      </c>
    </row>
    <row r="65" spans="1:5" x14ac:dyDescent="0.45">
      <c r="A65" t="s">
        <v>89</v>
      </c>
      <c r="B65" t="s">
        <v>94</v>
      </c>
      <c r="C65" t="s">
        <v>18</v>
      </c>
      <c r="D65">
        <v>1940.05292542546</v>
      </c>
      <c r="E65">
        <v>6.1088009763266804</v>
      </c>
    </row>
    <row r="66" spans="1:5" x14ac:dyDescent="0.45">
      <c r="A66" t="s">
        <v>89</v>
      </c>
      <c r="B66" t="s">
        <v>95</v>
      </c>
      <c r="C66" t="s">
        <v>18</v>
      </c>
      <c r="D66">
        <v>2756.2509329438899</v>
      </c>
      <c r="E66">
        <v>6.16639171697443</v>
      </c>
    </row>
    <row r="67" spans="1:5" x14ac:dyDescent="0.45">
      <c r="A67" t="s">
        <v>89</v>
      </c>
      <c r="B67" t="s">
        <v>90</v>
      </c>
      <c r="C67" t="s">
        <v>19</v>
      </c>
      <c r="D67">
        <v>3508.92741306467</v>
      </c>
      <c r="E67">
        <v>3.9667674053856601</v>
      </c>
    </row>
    <row r="68" spans="1:5" x14ac:dyDescent="0.45">
      <c r="A68" t="s">
        <v>89</v>
      </c>
      <c r="B68" t="s">
        <v>91</v>
      </c>
      <c r="C68" t="s">
        <v>19</v>
      </c>
      <c r="D68">
        <v>2501.2850709822801</v>
      </c>
      <c r="E68">
        <v>3.6266291701247502</v>
      </c>
    </row>
    <row r="69" spans="1:5" x14ac:dyDescent="0.45">
      <c r="A69" t="s">
        <v>89</v>
      </c>
      <c r="B69" t="s">
        <v>79</v>
      </c>
      <c r="C69" t="s">
        <v>19</v>
      </c>
      <c r="D69">
        <v>4539.1058965212196</v>
      </c>
      <c r="E69">
        <v>4.0927413096061498</v>
      </c>
    </row>
    <row r="70" spans="1:5" x14ac:dyDescent="0.45">
      <c r="A70" t="s">
        <v>89</v>
      </c>
      <c r="B70" t="s">
        <v>92</v>
      </c>
      <c r="C70" t="s">
        <v>19</v>
      </c>
      <c r="D70">
        <v>5207.8365941765696</v>
      </c>
      <c r="E70">
        <v>4.3239073573889097</v>
      </c>
    </row>
    <row r="71" spans="1:5" x14ac:dyDescent="0.45">
      <c r="A71" t="s">
        <v>89</v>
      </c>
      <c r="B71" t="s">
        <v>93</v>
      </c>
      <c r="C71" t="s">
        <v>19</v>
      </c>
      <c r="D71">
        <v>10707.460626627801</v>
      </c>
      <c r="E71">
        <v>3.6268779995358802</v>
      </c>
    </row>
    <row r="72" spans="1:5" x14ac:dyDescent="0.45">
      <c r="A72" t="s">
        <v>89</v>
      </c>
      <c r="B72" t="s">
        <v>94</v>
      </c>
      <c r="C72" t="s">
        <v>19</v>
      </c>
      <c r="D72">
        <v>2009.9122585370001</v>
      </c>
      <c r="E72">
        <v>6.4880219827587702</v>
      </c>
    </row>
    <row r="73" spans="1:5" x14ac:dyDescent="0.45">
      <c r="A73" t="s">
        <v>89</v>
      </c>
      <c r="B73" t="s">
        <v>95</v>
      </c>
      <c r="C73" t="s">
        <v>19</v>
      </c>
      <c r="D73">
        <v>2732.57641228188</v>
      </c>
      <c r="E73">
        <v>6.2157728510431403</v>
      </c>
    </row>
    <row r="74" spans="1:5" x14ac:dyDescent="0.45">
      <c r="A74" t="s">
        <v>89</v>
      </c>
      <c r="B74" t="s">
        <v>90</v>
      </c>
      <c r="C74" t="s">
        <v>20</v>
      </c>
      <c r="D74">
        <v>3245.5341193203499</v>
      </c>
      <c r="E74">
        <v>3.9263526196724601</v>
      </c>
    </row>
    <row r="75" spans="1:5" x14ac:dyDescent="0.45">
      <c r="A75" t="s">
        <v>89</v>
      </c>
      <c r="B75" t="s">
        <v>91</v>
      </c>
      <c r="C75" t="s">
        <v>20</v>
      </c>
      <c r="D75">
        <v>2393.9830448384</v>
      </c>
      <c r="E75">
        <v>3.5359416992354502</v>
      </c>
    </row>
    <row r="76" spans="1:5" x14ac:dyDescent="0.45">
      <c r="A76" t="s">
        <v>89</v>
      </c>
      <c r="B76" t="s">
        <v>79</v>
      </c>
      <c r="C76" t="s">
        <v>20</v>
      </c>
      <c r="D76">
        <v>4200.6915529462804</v>
      </c>
      <c r="E76">
        <v>3.9468032787833698</v>
      </c>
    </row>
    <row r="77" spans="1:5" x14ac:dyDescent="0.45">
      <c r="A77" t="s">
        <v>89</v>
      </c>
      <c r="B77" t="s">
        <v>92</v>
      </c>
      <c r="C77" t="s">
        <v>20</v>
      </c>
      <c r="D77">
        <v>4909.1797774290899</v>
      </c>
      <c r="E77">
        <v>4.1404051767608498</v>
      </c>
    </row>
    <row r="78" spans="1:5" x14ac:dyDescent="0.45">
      <c r="A78" t="s">
        <v>89</v>
      </c>
      <c r="B78" t="s">
        <v>93</v>
      </c>
      <c r="C78" t="s">
        <v>20</v>
      </c>
      <c r="D78">
        <v>9882.4130334338806</v>
      </c>
      <c r="E78">
        <v>3.4683245097124602</v>
      </c>
    </row>
    <row r="79" spans="1:5" x14ac:dyDescent="0.45">
      <c r="A79" t="s">
        <v>89</v>
      </c>
      <c r="B79" t="s">
        <v>94</v>
      </c>
      <c r="C79" t="s">
        <v>20</v>
      </c>
      <c r="D79">
        <v>2042.7251617111799</v>
      </c>
      <c r="E79">
        <v>6.4052064415854399</v>
      </c>
    </row>
    <row r="80" spans="1:5" x14ac:dyDescent="0.45">
      <c r="A80" t="s">
        <v>89</v>
      </c>
      <c r="B80" t="s">
        <v>95</v>
      </c>
      <c r="C80" t="s">
        <v>20</v>
      </c>
      <c r="D80">
        <v>2596.15220687176</v>
      </c>
      <c r="E80">
        <v>5.9628453862819297</v>
      </c>
    </row>
    <row r="81" spans="1:5" x14ac:dyDescent="0.45">
      <c r="A81" t="s">
        <v>89</v>
      </c>
      <c r="B81" t="s">
        <v>90</v>
      </c>
      <c r="C81" t="s">
        <v>21</v>
      </c>
      <c r="D81">
        <v>2704.21659393049</v>
      </c>
      <c r="E81">
        <v>3.8988836093217398</v>
      </c>
    </row>
    <row r="82" spans="1:5" x14ac:dyDescent="0.45">
      <c r="A82" t="s">
        <v>89</v>
      </c>
      <c r="B82" t="s">
        <v>91</v>
      </c>
      <c r="C82" t="s">
        <v>21</v>
      </c>
      <c r="D82">
        <v>1977.5975763608401</v>
      </c>
      <c r="E82">
        <v>3.5404577927905598</v>
      </c>
    </row>
    <row r="83" spans="1:5" x14ac:dyDescent="0.45">
      <c r="A83" t="s">
        <v>89</v>
      </c>
      <c r="B83" t="s">
        <v>79</v>
      </c>
      <c r="C83" t="s">
        <v>21</v>
      </c>
      <c r="D83">
        <v>3415.5066871488998</v>
      </c>
      <c r="E83">
        <v>3.8678710483576402</v>
      </c>
    </row>
    <row r="84" spans="1:5" x14ac:dyDescent="0.45">
      <c r="A84" t="s">
        <v>89</v>
      </c>
      <c r="B84" t="s">
        <v>92</v>
      </c>
      <c r="C84" t="s">
        <v>21</v>
      </c>
      <c r="D84">
        <v>3933.1792936889401</v>
      </c>
      <c r="E84">
        <v>4.0453209327769502</v>
      </c>
    </row>
    <row r="85" spans="1:5" x14ac:dyDescent="0.45">
      <c r="A85" t="s">
        <v>89</v>
      </c>
      <c r="B85" t="s">
        <v>93</v>
      </c>
      <c r="C85" t="s">
        <v>21</v>
      </c>
      <c r="D85">
        <v>7710.1962650192199</v>
      </c>
      <c r="E85">
        <v>3.4147038304068098</v>
      </c>
    </row>
    <row r="86" spans="1:5" x14ac:dyDescent="0.45">
      <c r="A86" t="s">
        <v>89</v>
      </c>
      <c r="B86" t="s">
        <v>94</v>
      </c>
      <c r="C86" t="s">
        <v>21</v>
      </c>
      <c r="D86">
        <v>1664.1772624794401</v>
      </c>
      <c r="E86">
        <v>6.4174833430740499</v>
      </c>
    </row>
    <row r="87" spans="1:5" x14ac:dyDescent="0.45">
      <c r="A87" t="s">
        <v>89</v>
      </c>
      <c r="B87" t="s">
        <v>95</v>
      </c>
      <c r="C87" t="s">
        <v>21</v>
      </c>
      <c r="D87">
        <v>2097.4180898147802</v>
      </c>
      <c r="E87">
        <v>5.9127178698432701</v>
      </c>
    </row>
    <row r="88" spans="1:5" x14ac:dyDescent="0.45">
      <c r="A88" t="s">
        <v>89</v>
      </c>
      <c r="B88" t="s">
        <v>90</v>
      </c>
      <c r="C88" t="s">
        <v>22</v>
      </c>
      <c r="D88">
        <v>1961.8634447964</v>
      </c>
      <c r="E88">
        <v>4.6721458034941596</v>
      </c>
    </row>
    <row r="89" spans="1:5" x14ac:dyDescent="0.45">
      <c r="A89" t="s">
        <v>89</v>
      </c>
      <c r="B89" t="s">
        <v>91</v>
      </c>
      <c r="C89" t="s">
        <v>22</v>
      </c>
      <c r="D89">
        <v>1406.8852038590101</v>
      </c>
      <c r="E89">
        <v>4.2216307681269898</v>
      </c>
    </row>
    <row r="90" spans="1:5" x14ac:dyDescent="0.45">
      <c r="A90" t="s">
        <v>89</v>
      </c>
      <c r="B90" t="s">
        <v>79</v>
      </c>
      <c r="C90" t="s">
        <v>22</v>
      </c>
      <c r="D90">
        <v>2347.7124932122501</v>
      </c>
      <c r="E90">
        <v>4.8052688311425698</v>
      </c>
    </row>
    <row r="91" spans="1:5" x14ac:dyDescent="0.45">
      <c r="A91" t="s">
        <v>89</v>
      </c>
      <c r="B91" t="s">
        <v>92</v>
      </c>
      <c r="C91" t="s">
        <v>22</v>
      </c>
      <c r="D91">
        <v>2851.8549417781001</v>
      </c>
      <c r="E91">
        <v>5.1555040075610803</v>
      </c>
    </row>
    <row r="92" spans="1:5" x14ac:dyDescent="0.45">
      <c r="A92" t="s">
        <v>89</v>
      </c>
      <c r="B92" t="s">
        <v>93</v>
      </c>
      <c r="C92" t="s">
        <v>22</v>
      </c>
      <c r="D92">
        <v>5589.2853688651903</v>
      </c>
      <c r="E92">
        <v>4.0433466031700496</v>
      </c>
    </row>
    <row r="93" spans="1:5" x14ac:dyDescent="0.45">
      <c r="A93" t="s">
        <v>89</v>
      </c>
      <c r="B93" t="s">
        <v>94</v>
      </c>
      <c r="C93" t="s">
        <v>22</v>
      </c>
      <c r="D93">
        <v>1244.57767812309</v>
      </c>
      <c r="E93">
        <v>8.48391706762418</v>
      </c>
    </row>
    <row r="94" spans="1:5" x14ac:dyDescent="0.45">
      <c r="A94" t="s">
        <v>89</v>
      </c>
      <c r="B94" t="s">
        <v>95</v>
      </c>
      <c r="C94" t="s">
        <v>22</v>
      </c>
      <c r="D94">
        <v>1577.32971885847</v>
      </c>
      <c r="E94">
        <v>7.7559824175714498</v>
      </c>
    </row>
    <row r="95" spans="1:5" x14ac:dyDescent="0.45">
      <c r="A95" t="s">
        <v>89</v>
      </c>
      <c r="B95" t="s">
        <v>90</v>
      </c>
      <c r="C95" t="s">
        <v>23</v>
      </c>
      <c r="D95">
        <v>1241.47816461605</v>
      </c>
      <c r="E95">
        <v>4.5069264871687196</v>
      </c>
    </row>
    <row r="96" spans="1:5" x14ac:dyDescent="0.45">
      <c r="A96" t="s">
        <v>89</v>
      </c>
      <c r="B96" t="s">
        <v>91</v>
      </c>
      <c r="C96" t="s">
        <v>23</v>
      </c>
      <c r="D96">
        <v>882.33237313733196</v>
      </c>
      <c r="E96">
        <v>4.2212491622164796</v>
      </c>
    </row>
    <row r="97" spans="1:8" x14ac:dyDescent="0.45">
      <c r="A97" t="s">
        <v>89</v>
      </c>
      <c r="B97" t="s">
        <v>79</v>
      </c>
      <c r="C97" t="s">
        <v>23</v>
      </c>
      <c r="D97">
        <v>1584.7583643329399</v>
      </c>
      <c r="E97">
        <v>4.564788105401</v>
      </c>
    </row>
    <row r="98" spans="1:8" x14ac:dyDescent="0.45">
      <c r="A98" t="s">
        <v>89</v>
      </c>
      <c r="B98" t="s">
        <v>92</v>
      </c>
      <c r="C98" t="s">
        <v>23</v>
      </c>
      <c r="D98">
        <v>1751.84263198908</v>
      </c>
      <c r="E98">
        <v>4.88412947843275</v>
      </c>
    </row>
    <row r="99" spans="1:8" x14ac:dyDescent="0.45">
      <c r="A99" t="s">
        <v>89</v>
      </c>
      <c r="B99" t="s">
        <v>93</v>
      </c>
      <c r="C99" t="s">
        <v>23</v>
      </c>
      <c r="D99">
        <v>3449.9630500429298</v>
      </c>
      <c r="E99">
        <v>3.78612951589903</v>
      </c>
    </row>
    <row r="100" spans="1:8" x14ac:dyDescent="0.45">
      <c r="A100" t="s">
        <v>89</v>
      </c>
      <c r="B100" t="s">
        <v>94</v>
      </c>
      <c r="C100" t="s">
        <v>23</v>
      </c>
      <c r="D100">
        <v>819.41452475702602</v>
      </c>
      <c r="E100">
        <v>8.1092183727075398</v>
      </c>
    </row>
    <row r="101" spans="1:8" x14ac:dyDescent="0.45">
      <c r="A101" t="s">
        <v>89</v>
      </c>
      <c r="B101" t="s">
        <v>95</v>
      </c>
      <c r="C101" t="s">
        <v>23</v>
      </c>
      <c r="D101">
        <v>906.50042675145403</v>
      </c>
      <c r="E101">
        <v>7.0910809479518901</v>
      </c>
    </row>
    <row r="102" spans="1:8" x14ac:dyDescent="0.45">
      <c r="A102" t="s">
        <v>89</v>
      </c>
      <c r="B102" t="s">
        <v>90</v>
      </c>
      <c r="C102" t="s">
        <v>24</v>
      </c>
      <c r="D102">
        <v>443.58732999619298</v>
      </c>
      <c r="E102">
        <v>3.3508329026630999</v>
      </c>
    </row>
    <row r="103" spans="1:8" x14ac:dyDescent="0.45">
      <c r="A103" t="s">
        <v>89</v>
      </c>
      <c r="B103" t="s">
        <v>91</v>
      </c>
      <c r="C103" t="s">
        <v>24</v>
      </c>
      <c r="D103">
        <v>334.956456012682</v>
      </c>
      <c r="E103">
        <v>3.2455908852950102</v>
      </c>
    </row>
    <row r="104" spans="1:8" x14ac:dyDescent="0.45">
      <c r="A104" t="s">
        <v>89</v>
      </c>
      <c r="B104" t="s">
        <v>79</v>
      </c>
      <c r="C104" t="s">
        <v>24</v>
      </c>
      <c r="D104">
        <v>542.28028821744704</v>
      </c>
      <c r="E104">
        <v>3.7065068744674301</v>
      </c>
    </row>
    <row r="105" spans="1:8" x14ac:dyDescent="0.45">
      <c r="A105" t="s">
        <v>89</v>
      </c>
      <c r="B105" t="s">
        <v>92</v>
      </c>
      <c r="C105" t="s">
        <v>24</v>
      </c>
      <c r="D105">
        <v>661.47718633434295</v>
      </c>
      <c r="E105">
        <v>3.8795159657851102</v>
      </c>
    </row>
    <row r="106" spans="1:8" x14ac:dyDescent="0.45">
      <c r="A106" t="s">
        <v>89</v>
      </c>
      <c r="B106" t="s">
        <v>93</v>
      </c>
      <c r="C106" t="s">
        <v>24</v>
      </c>
      <c r="D106">
        <v>1228.9686478906499</v>
      </c>
      <c r="E106">
        <v>2.9585911001140301</v>
      </c>
    </row>
    <row r="107" spans="1:8" x14ac:dyDescent="0.45">
      <c r="A107" t="s">
        <v>89</v>
      </c>
      <c r="B107" t="s">
        <v>94</v>
      </c>
      <c r="C107" t="s">
        <v>24</v>
      </c>
      <c r="D107">
        <v>297.08230328508898</v>
      </c>
      <c r="E107">
        <v>6.3786825635954001</v>
      </c>
    </row>
    <row r="108" spans="1:8" x14ac:dyDescent="0.45">
      <c r="A108" t="s">
        <v>89</v>
      </c>
      <c r="B108" t="s">
        <v>95</v>
      </c>
      <c r="C108" t="s">
        <v>24</v>
      </c>
      <c r="D108">
        <v>354.38236250280403</v>
      </c>
      <c r="E108">
        <v>5.8089026725481103</v>
      </c>
    </row>
    <row r="110" spans="1:8" x14ac:dyDescent="0.45">
      <c r="A110" t="s">
        <v>96</v>
      </c>
    </row>
    <row r="112" spans="1:8" x14ac:dyDescent="0.45">
      <c r="A112" t="s">
        <v>1</v>
      </c>
      <c r="B112" t="s">
        <v>2</v>
      </c>
      <c r="C112" t="s">
        <v>4</v>
      </c>
      <c r="D112" t="s">
        <v>26</v>
      </c>
      <c r="E112" t="s">
        <v>27</v>
      </c>
      <c r="F112" t="s">
        <v>28</v>
      </c>
      <c r="G112" t="s">
        <v>29</v>
      </c>
      <c r="H112" t="s">
        <v>30</v>
      </c>
    </row>
    <row r="113" spans="1:8" x14ac:dyDescent="0.45">
      <c r="A113" t="s">
        <v>89</v>
      </c>
      <c r="B113" t="s">
        <v>90</v>
      </c>
      <c r="C113">
        <v>35213.998356101598</v>
      </c>
      <c r="D113">
        <v>1343</v>
      </c>
      <c r="E113">
        <v>3.8138242252950398</v>
      </c>
      <c r="F113">
        <v>3.6371879823433</v>
      </c>
      <c r="G113">
        <v>3.6337518230554098</v>
      </c>
      <c r="H113">
        <v>3.6406241416311902</v>
      </c>
    </row>
    <row r="114" spans="1:8" x14ac:dyDescent="0.45">
      <c r="A114" t="s">
        <v>89</v>
      </c>
      <c r="B114" t="s">
        <v>91</v>
      </c>
      <c r="C114">
        <v>25718.321401846199</v>
      </c>
      <c r="D114">
        <v>890</v>
      </c>
      <c r="E114">
        <v>3.4605679977858599</v>
      </c>
      <c r="F114">
        <v>3.3037444938174598</v>
      </c>
      <c r="G114">
        <v>3.2999602880518402</v>
      </c>
      <c r="H114">
        <v>3.3075286995830799</v>
      </c>
    </row>
    <row r="115" spans="1:8" x14ac:dyDescent="0.45">
      <c r="A115" t="s">
        <v>89</v>
      </c>
      <c r="B115" t="s">
        <v>79</v>
      </c>
      <c r="C115">
        <v>46958.4074068759</v>
      </c>
      <c r="D115">
        <v>1842</v>
      </c>
      <c r="E115">
        <v>3.9226202542173199</v>
      </c>
      <c r="F115">
        <v>3.75419875919241</v>
      </c>
      <c r="G115">
        <v>3.7507662935260999</v>
      </c>
      <c r="H115">
        <v>3.75763122485872</v>
      </c>
    </row>
    <row r="116" spans="1:8" x14ac:dyDescent="0.45">
      <c r="A116" t="s">
        <v>89</v>
      </c>
      <c r="B116" t="s">
        <v>92</v>
      </c>
      <c r="C116">
        <v>51956.766290736297</v>
      </c>
      <c r="D116">
        <v>2116</v>
      </c>
      <c r="E116">
        <v>4.0726168140631103</v>
      </c>
      <c r="F116">
        <v>3.8862032354966201</v>
      </c>
      <c r="G116">
        <v>3.8832047415168698</v>
      </c>
      <c r="H116">
        <v>3.8892017294763601</v>
      </c>
    </row>
    <row r="117" spans="1:8" x14ac:dyDescent="0.45">
      <c r="A117" t="s">
        <v>89</v>
      </c>
      <c r="B117" t="s">
        <v>93</v>
      </c>
      <c r="C117">
        <v>115375.91461649101</v>
      </c>
      <c r="D117">
        <v>4035</v>
      </c>
      <c r="E117">
        <v>3.4972637169658101</v>
      </c>
      <c r="F117">
        <v>3.35748609816679</v>
      </c>
      <c r="G117">
        <v>3.3558580285662698</v>
      </c>
      <c r="H117">
        <v>3.3591141677673102</v>
      </c>
    </row>
    <row r="118" spans="1:8" x14ac:dyDescent="0.45">
      <c r="A118" t="s">
        <v>89</v>
      </c>
      <c r="B118" t="s">
        <v>94</v>
      </c>
      <c r="C118">
        <v>16002.4290158572</v>
      </c>
      <c r="D118">
        <v>1029</v>
      </c>
      <c r="E118">
        <v>6.4302737976862003</v>
      </c>
      <c r="F118">
        <v>6.0316762913996396</v>
      </c>
      <c r="G118">
        <v>6.0235989369445404</v>
      </c>
      <c r="H118">
        <v>6.0397536458547503</v>
      </c>
    </row>
    <row r="119" spans="1:8" x14ac:dyDescent="0.45">
      <c r="A119" t="s">
        <v>89</v>
      </c>
      <c r="B119" t="s">
        <v>95</v>
      </c>
      <c r="C119">
        <v>26361.642578830299</v>
      </c>
      <c r="D119">
        <v>1595</v>
      </c>
      <c r="E119">
        <v>6.0504575738420101</v>
      </c>
      <c r="F119">
        <v>5.7575869754234201</v>
      </c>
      <c r="G119">
        <v>5.7512241998808804</v>
      </c>
      <c r="H119">
        <v>5.7639497509659696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9"/>
  <sheetViews>
    <sheetView workbookViewId="0"/>
  </sheetViews>
  <sheetFormatPr baseColWidth="10" defaultRowHeight="14.25" x14ac:dyDescent="0.45"/>
  <sheetData>
    <row r="1" spans="1:5" x14ac:dyDescent="0.45">
      <c r="A1" t="s">
        <v>97</v>
      </c>
    </row>
    <row r="3" spans="1:5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45">
      <c r="A4" t="s">
        <v>98</v>
      </c>
      <c r="B4" t="s">
        <v>69</v>
      </c>
      <c r="C4" t="s">
        <v>8</v>
      </c>
      <c r="D4">
        <v>2044.7871983678101</v>
      </c>
      <c r="E4">
        <v>3.7539949860511599</v>
      </c>
    </row>
    <row r="5" spans="1:5" x14ac:dyDescent="0.45">
      <c r="A5" t="s">
        <v>98</v>
      </c>
      <c r="B5" t="s">
        <v>70</v>
      </c>
      <c r="C5" t="s">
        <v>8</v>
      </c>
      <c r="D5">
        <v>3084.1563736600101</v>
      </c>
      <c r="E5">
        <v>3.1624197332418902</v>
      </c>
    </row>
    <row r="6" spans="1:5" x14ac:dyDescent="0.45">
      <c r="A6" t="s">
        <v>98</v>
      </c>
      <c r="B6" t="s">
        <v>69</v>
      </c>
      <c r="C6" t="s">
        <v>11</v>
      </c>
      <c r="D6">
        <v>4263.9932603753095</v>
      </c>
      <c r="E6">
        <v>3.6704009897022201</v>
      </c>
    </row>
    <row r="7" spans="1:5" x14ac:dyDescent="0.45">
      <c r="A7" t="s">
        <v>98</v>
      </c>
      <c r="B7" t="s">
        <v>70</v>
      </c>
      <c r="C7" t="s">
        <v>11</v>
      </c>
      <c r="D7">
        <v>6241.6888356805002</v>
      </c>
      <c r="E7">
        <v>3.11722191685576</v>
      </c>
    </row>
    <row r="8" spans="1:5" x14ac:dyDescent="0.45">
      <c r="A8" t="s">
        <v>98</v>
      </c>
      <c r="B8" t="s">
        <v>69</v>
      </c>
      <c r="C8" t="s">
        <v>12</v>
      </c>
      <c r="D8">
        <v>6355.2244594578597</v>
      </c>
      <c r="E8">
        <v>3.6308706484525799</v>
      </c>
    </row>
    <row r="9" spans="1:5" x14ac:dyDescent="0.45">
      <c r="A9" t="s">
        <v>98</v>
      </c>
      <c r="B9" t="s">
        <v>70</v>
      </c>
      <c r="C9" t="s">
        <v>12</v>
      </c>
      <c r="D9">
        <v>9733.2134393775905</v>
      </c>
      <c r="E9">
        <v>3.1143737370045002</v>
      </c>
    </row>
    <row r="10" spans="1:5" x14ac:dyDescent="0.45">
      <c r="A10" t="s">
        <v>98</v>
      </c>
      <c r="B10" t="s">
        <v>69</v>
      </c>
      <c r="C10" t="s">
        <v>13</v>
      </c>
      <c r="D10">
        <v>8710.8808250266593</v>
      </c>
      <c r="E10">
        <v>3.63759898594191</v>
      </c>
    </row>
    <row r="11" spans="1:5" x14ac:dyDescent="0.45">
      <c r="A11" t="s">
        <v>98</v>
      </c>
      <c r="B11" t="s">
        <v>70</v>
      </c>
      <c r="C11" t="s">
        <v>13</v>
      </c>
      <c r="D11">
        <v>13096.3045041236</v>
      </c>
      <c r="E11">
        <v>3.0732760196216602</v>
      </c>
    </row>
    <row r="12" spans="1:5" x14ac:dyDescent="0.45">
      <c r="A12" t="s">
        <v>98</v>
      </c>
      <c r="B12" t="s">
        <v>69</v>
      </c>
      <c r="C12" t="s">
        <v>14</v>
      </c>
      <c r="D12">
        <v>10939.178136886499</v>
      </c>
      <c r="E12">
        <v>3.8584543625440602</v>
      </c>
    </row>
    <row r="13" spans="1:5" x14ac:dyDescent="0.45">
      <c r="A13" t="s">
        <v>98</v>
      </c>
      <c r="B13" t="s">
        <v>70</v>
      </c>
      <c r="C13" t="s">
        <v>14</v>
      </c>
      <c r="D13">
        <v>16351.795030032499</v>
      </c>
      <c r="E13">
        <v>3.2437664237749702</v>
      </c>
    </row>
    <row r="14" spans="1:5" x14ac:dyDescent="0.45">
      <c r="A14" t="s">
        <v>98</v>
      </c>
      <c r="B14" t="s">
        <v>69</v>
      </c>
      <c r="C14" t="s">
        <v>15</v>
      </c>
      <c r="D14">
        <v>11245.140068495601</v>
      </c>
      <c r="E14">
        <v>3.8660216860228198</v>
      </c>
    </row>
    <row r="15" spans="1:5" x14ac:dyDescent="0.45">
      <c r="A15" t="s">
        <v>98</v>
      </c>
      <c r="B15" t="s">
        <v>70</v>
      </c>
      <c r="C15" t="s">
        <v>15</v>
      </c>
      <c r="D15">
        <v>17036.3861201039</v>
      </c>
      <c r="E15">
        <v>3.30147372566634</v>
      </c>
    </row>
    <row r="16" spans="1:5" x14ac:dyDescent="0.45">
      <c r="A16" t="s">
        <v>98</v>
      </c>
      <c r="B16" t="s">
        <v>69</v>
      </c>
      <c r="C16" t="s">
        <v>16</v>
      </c>
      <c r="D16">
        <v>12028.052369717099</v>
      </c>
      <c r="E16">
        <v>3.8733058992023599</v>
      </c>
    </row>
    <row r="17" spans="1:5" x14ac:dyDescent="0.45">
      <c r="A17" t="s">
        <v>98</v>
      </c>
      <c r="B17" t="s">
        <v>70</v>
      </c>
      <c r="C17" t="s">
        <v>16</v>
      </c>
      <c r="D17">
        <v>17564.181700835899</v>
      </c>
      <c r="E17">
        <v>3.3507083028271998</v>
      </c>
    </row>
    <row r="18" spans="1:5" x14ac:dyDescent="0.45">
      <c r="A18" t="s">
        <v>98</v>
      </c>
      <c r="B18" t="s">
        <v>69</v>
      </c>
      <c r="C18" t="s">
        <v>17</v>
      </c>
      <c r="D18">
        <v>12615.5583496335</v>
      </c>
      <c r="E18">
        <v>3.90966184173945</v>
      </c>
    </row>
    <row r="19" spans="1:5" x14ac:dyDescent="0.45">
      <c r="A19" t="s">
        <v>98</v>
      </c>
      <c r="B19" t="s">
        <v>70</v>
      </c>
      <c r="C19" t="s">
        <v>17</v>
      </c>
      <c r="D19">
        <v>19039.1086650705</v>
      </c>
      <c r="E19">
        <v>3.3563064586340001</v>
      </c>
    </row>
    <row r="20" spans="1:5" x14ac:dyDescent="0.45">
      <c r="A20" t="s">
        <v>98</v>
      </c>
      <c r="B20" t="s">
        <v>69</v>
      </c>
      <c r="C20" t="s">
        <v>18</v>
      </c>
      <c r="D20">
        <v>12734.8818001118</v>
      </c>
      <c r="E20">
        <v>4.6285900528651203</v>
      </c>
    </row>
    <row r="21" spans="1:5" x14ac:dyDescent="0.45">
      <c r="A21" t="s">
        <v>98</v>
      </c>
      <c r="B21" t="s">
        <v>70</v>
      </c>
      <c r="C21" t="s">
        <v>18</v>
      </c>
      <c r="D21">
        <v>19044.340633238699</v>
      </c>
      <c r="E21">
        <v>3.8881535618330698</v>
      </c>
    </row>
    <row r="22" spans="1:5" x14ac:dyDescent="0.45">
      <c r="A22" t="s">
        <v>98</v>
      </c>
      <c r="B22" t="s">
        <v>69</v>
      </c>
      <c r="C22" t="s">
        <v>19</v>
      </c>
      <c r="D22">
        <v>12444.491404002199</v>
      </c>
      <c r="E22">
        <v>4.6649992622590997</v>
      </c>
    </row>
    <row r="23" spans="1:5" x14ac:dyDescent="0.45">
      <c r="A23" t="s">
        <v>98</v>
      </c>
      <c r="B23" t="s">
        <v>70</v>
      </c>
      <c r="C23" t="s">
        <v>19</v>
      </c>
      <c r="D23">
        <v>18762.612868189201</v>
      </c>
      <c r="E23">
        <v>3.9915794962456901</v>
      </c>
    </row>
    <row r="24" spans="1:5" x14ac:dyDescent="0.45">
      <c r="A24" t="s">
        <v>98</v>
      </c>
      <c r="B24" t="s">
        <v>69</v>
      </c>
      <c r="C24" t="s">
        <v>20</v>
      </c>
      <c r="D24">
        <v>11659.710861597699</v>
      </c>
      <c r="E24">
        <v>4.503642029091</v>
      </c>
    </row>
    <row r="25" spans="1:5" x14ac:dyDescent="0.45">
      <c r="A25" t="s">
        <v>98</v>
      </c>
      <c r="B25" t="s">
        <v>70</v>
      </c>
      <c r="C25" t="s">
        <v>20</v>
      </c>
      <c r="D25">
        <v>17610.968034953199</v>
      </c>
      <c r="E25">
        <v>3.8863380092662698</v>
      </c>
    </row>
    <row r="26" spans="1:5" x14ac:dyDescent="0.45">
      <c r="A26" t="s">
        <v>98</v>
      </c>
      <c r="B26" t="s">
        <v>69</v>
      </c>
      <c r="C26" t="s">
        <v>21</v>
      </c>
      <c r="D26">
        <v>9491.7748200000296</v>
      </c>
      <c r="E26">
        <v>4.5009458701945197</v>
      </c>
    </row>
    <row r="27" spans="1:5" x14ac:dyDescent="0.45">
      <c r="A27" t="s">
        <v>98</v>
      </c>
      <c r="B27" t="s">
        <v>70</v>
      </c>
      <c r="C27" t="s">
        <v>21</v>
      </c>
      <c r="D27">
        <v>14010.516948442601</v>
      </c>
      <c r="E27">
        <v>3.80814512305568</v>
      </c>
    </row>
    <row r="28" spans="1:5" x14ac:dyDescent="0.45">
      <c r="A28" t="s">
        <v>98</v>
      </c>
      <c r="B28" t="s">
        <v>69</v>
      </c>
      <c r="C28" t="s">
        <v>22</v>
      </c>
      <c r="D28">
        <v>6775.9833164604797</v>
      </c>
      <c r="E28">
        <v>5.6167811320752801</v>
      </c>
    </row>
    <row r="29" spans="1:5" x14ac:dyDescent="0.45">
      <c r="A29" t="s">
        <v>98</v>
      </c>
      <c r="B29" t="s">
        <v>70</v>
      </c>
      <c r="C29" t="s">
        <v>22</v>
      </c>
      <c r="D29">
        <v>10203.525533032</v>
      </c>
      <c r="E29">
        <v>4.7456576803708401</v>
      </c>
    </row>
    <row r="30" spans="1:5" x14ac:dyDescent="0.45">
      <c r="A30" t="s">
        <v>98</v>
      </c>
      <c r="B30" t="s">
        <v>69</v>
      </c>
      <c r="C30" t="s">
        <v>23</v>
      </c>
      <c r="D30">
        <v>4295.4858925968101</v>
      </c>
      <c r="E30">
        <v>5.2590316612082599</v>
      </c>
    </row>
    <row r="31" spans="1:5" x14ac:dyDescent="0.45">
      <c r="A31" t="s">
        <v>98</v>
      </c>
      <c r="B31" t="s">
        <v>70</v>
      </c>
      <c r="C31" t="s">
        <v>23</v>
      </c>
      <c r="D31">
        <v>6340.8036430299999</v>
      </c>
      <c r="E31">
        <v>4.5191271401732198</v>
      </c>
    </row>
    <row r="32" spans="1:5" x14ac:dyDescent="0.45">
      <c r="A32" t="s">
        <v>98</v>
      </c>
      <c r="B32" t="s">
        <v>69</v>
      </c>
      <c r="C32" t="s">
        <v>24</v>
      </c>
      <c r="D32">
        <v>1557.11939887571</v>
      </c>
      <c r="E32">
        <v>4.2180082005336104</v>
      </c>
    </row>
    <row r="33" spans="1:8" x14ac:dyDescent="0.45">
      <c r="A33" t="s">
        <v>98</v>
      </c>
      <c r="B33" t="s">
        <v>70</v>
      </c>
      <c r="C33" t="s">
        <v>24</v>
      </c>
      <c r="D33">
        <v>2305.6151753634999</v>
      </c>
      <c r="E33">
        <v>3.5441019476679698</v>
      </c>
    </row>
    <row r="35" spans="1:8" x14ac:dyDescent="0.45">
      <c r="A35" t="s">
        <v>99</v>
      </c>
    </row>
    <row r="37" spans="1:8" x14ac:dyDescent="0.45">
      <c r="A37" t="s">
        <v>1</v>
      </c>
      <c r="B37" t="s">
        <v>2</v>
      </c>
      <c r="C37" t="s">
        <v>4</v>
      </c>
      <c r="D37" t="s">
        <v>26</v>
      </c>
      <c r="E37" t="s">
        <v>27</v>
      </c>
      <c r="F37" t="s">
        <v>28</v>
      </c>
      <c r="G37" t="s">
        <v>29</v>
      </c>
      <c r="H37" t="s">
        <v>30</v>
      </c>
    </row>
    <row r="38" spans="1:8" x14ac:dyDescent="0.45">
      <c r="A38" t="s">
        <v>98</v>
      </c>
      <c r="B38" t="s">
        <v>69</v>
      </c>
      <c r="C38">
        <v>127162.262161605</v>
      </c>
      <c r="D38">
        <v>5646</v>
      </c>
      <c r="E38">
        <v>4.4399965084175204</v>
      </c>
      <c r="F38">
        <v>4.2397013644752901</v>
      </c>
      <c r="G38">
        <v>4.2375939197713501</v>
      </c>
      <c r="H38">
        <v>4.2418088091792203</v>
      </c>
    </row>
    <row r="39" spans="1:8" x14ac:dyDescent="0.45">
      <c r="A39" t="s">
        <v>98</v>
      </c>
      <c r="B39" t="s">
        <v>70</v>
      </c>
      <c r="C39">
        <v>190425.217505134</v>
      </c>
      <c r="D39">
        <v>7204</v>
      </c>
      <c r="E39">
        <v>3.7831123915117901</v>
      </c>
      <c r="F39">
        <v>3.61189755276961</v>
      </c>
      <c r="G39">
        <v>3.6103876233745398</v>
      </c>
      <c r="H39">
        <v>3.61340748216467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9"/>
  <sheetViews>
    <sheetView workbookViewId="0"/>
  </sheetViews>
  <sheetFormatPr baseColWidth="10" defaultRowHeight="14.25" x14ac:dyDescent="0.45"/>
  <sheetData>
    <row r="1" spans="1:5" x14ac:dyDescent="0.45">
      <c r="A1" t="s">
        <v>100</v>
      </c>
    </row>
    <row r="3" spans="1:5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45">
      <c r="A4" t="s">
        <v>101</v>
      </c>
      <c r="B4" t="s">
        <v>69</v>
      </c>
      <c r="C4" t="s">
        <v>8</v>
      </c>
      <c r="D4">
        <v>2468.3107469347901</v>
      </c>
      <c r="E4">
        <v>3.1852026353833298</v>
      </c>
    </row>
    <row r="5" spans="1:5" x14ac:dyDescent="0.45">
      <c r="A5" t="s">
        <v>101</v>
      </c>
      <c r="B5" t="s">
        <v>70</v>
      </c>
      <c r="C5" t="s">
        <v>8</v>
      </c>
      <c r="D5">
        <v>2660.6328250930301</v>
      </c>
      <c r="E5">
        <v>3.59592946473713</v>
      </c>
    </row>
    <row r="6" spans="1:5" x14ac:dyDescent="0.45">
      <c r="A6" t="s">
        <v>101</v>
      </c>
      <c r="B6" t="s">
        <v>69</v>
      </c>
      <c r="C6" t="s">
        <v>11</v>
      </c>
      <c r="D6">
        <v>5060.6474847973404</v>
      </c>
      <c r="E6">
        <v>3.12957834076829</v>
      </c>
    </row>
    <row r="7" spans="1:5" x14ac:dyDescent="0.45">
      <c r="A7" t="s">
        <v>101</v>
      </c>
      <c r="B7" t="s">
        <v>70</v>
      </c>
      <c r="C7" t="s">
        <v>11</v>
      </c>
      <c r="D7">
        <v>5445.0346112584602</v>
      </c>
      <c r="E7">
        <v>3.5389309594495599</v>
      </c>
    </row>
    <row r="8" spans="1:5" x14ac:dyDescent="0.45">
      <c r="A8" t="s">
        <v>101</v>
      </c>
      <c r="B8" t="s">
        <v>69</v>
      </c>
      <c r="C8" t="s">
        <v>12</v>
      </c>
      <c r="D8">
        <v>7724.4745607807499</v>
      </c>
      <c r="E8">
        <v>3.10047487864695</v>
      </c>
    </row>
    <row r="9" spans="1:5" x14ac:dyDescent="0.45">
      <c r="A9" t="s">
        <v>101</v>
      </c>
      <c r="B9" t="s">
        <v>70</v>
      </c>
      <c r="C9" t="s">
        <v>12</v>
      </c>
      <c r="D9">
        <v>8363.9633380547002</v>
      </c>
      <c r="E9">
        <v>3.5196618815917602</v>
      </c>
    </row>
    <row r="10" spans="1:5" x14ac:dyDescent="0.45">
      <c r="A10" t="s">
        <v>101</v>
      </c>
      <c r="B10" t="s">
        <v>69</v>
      </c>
      <c r="C10" t="s">
        <v>13</v>
      </c>
      <c r="D10">
        <v>10518.166469076299</v>
      </c>
      <c r="E10">
        <v>3.0636821209873002</v>
      </c>
    </row>
    <row r="11" spans="1:5" x14ac:dyDescent="0.45">
      <c r="A11" t="s">
        <v>101</v>
      </c>
      <c r="B11" t="s">
        <v>70</v>
      </c>
      <c r="C11" t="s">
        <v>13</v>
      </c>
      <c r="D11">
        <v>11289.0188600739</v>
      </c>
      <c r="E11">
        <v>3.51766010574516</v>
      </c>
    </row>
    <row r="12" spans="1:5" x14ac:dyDescent="0.45">
      <c r="A12" t="s">
        <v>101</v>
      </c>
      <c r="B12" t="s">
        <v>69</v>
      </c>
      <c r="C12" t="s">
        <v>14</v>
      </c>
      <c r="D12">
        <v>13184.627757755299</v>
      </c>
      <c r="E12">
        <v>3.2654486167597199</v>
      </c>
    </row>
    <row r="13" spans="1:5" x14ac:dyDescent="0.45">
      <c r="A13" t="s">
        <v>101</v>
      </c>
      <c r="B13" t="s">
        <v>70</v>
      </c>
      <c r="C13" t="s">
        <v>14</v>
      </c>
      <c r="D13">
        <v>14106.3454091637</v>
      </c>
      <c r="E13">
        <v>3.7001786999930601</v>
      </c>
    </row>
    <row r="14" spans="1:5" x14ac:dyDescent="0.45">
      <c r="A14" t="s">
        <v>101</v>
      </c>
      <c r="B14" t="s">
        <v>69</v>
      </c>
      <c r="C14" t="s">
        <v>15</v>
      </c>
      <c r="D14">
        <v>13970.8468113012</v>
      </c>
      <c r="E14">
        <v>3.3370412571319599</v>
      </c>
    </row>
    <row r="15" spans="1:5" x14ac:dyDescent="0.45">
      <c r="A15" t="s">
        <v>101</v>
      </c>
      <c r="B15" t="s">
        <v>70</v>
      </c>
      <c r="C15" t="s">
        <v>15</v>
      </c>
      <c r="D15">
        <v>14310.6793772983</v>
      </c>
      <c r="E15">
        <v>3.7103650299682398</v>
      </c>
    </row>
    <row r="16" spans="1:5" x14ac:dyDescent="0.45">
      <c r="A16" t="s">
        <v>101</v>
      </c>
      <c r="B16" t="s">
        <v>69</v>
      </c>
      <c r="C16" t="s">
        <v>16</v>
      </c>
      <c r="D16">
        <v>14729.0476022734</v>
      </c>
      <c r="E16">
        <v>3.38489911602433</v>
      </c>
    </row>
    <row r="17" spans="1:5" x14ac:dyDescent="0.45">
      <c r="A17" t="s">
        <v>101</v>
      </c>
      <c r="B17" t="s">
        <v>70</v>
      </c>
      <c r="C17" t="s">
        <v>16</v>
      </c>
      <c r="D17">
        <v>14863.1864682796</v>
      </c>
      <c r="E17">
        <v>3.7397388215983902</v>
      </c>
    </row>
    <row r="18" spans="1:5" x14ac:dyDescent="0.45">
      <c r="A18" t="s">
        <v>101</v>
      </c>
      <c r="B18" t="s">
        <v>69</v>
      </c>
      <c r="C18" t="s">
        <v>17</v>
      </c>
      <c r="D18">
        <v>16049.115666842799</v>
      </c>
      <c r="E18">
        <v>3.4244819105126001</v>
      </c>
    </row>
    <row r="19" spans="1:5" x14ac:dyDescent="0.45">
      <c r="A19" t="s">
        <v>101</v>
      </c>
      <c r="B19" t="s">
        <v>70</v>
      </c>
      <c r="C19" t="s">
        <v>17</v>
      </c>
      <c r="D19">
        <v>15605.551347861199</v>
      </c>
      <c r="E19">
        <v>3.7335268002670099</v>
      </c>
    </row>
    <row r="20" spans="1:5" x14ac:dyDescent="0.45">
      <c r="A20" t="s">
        <v>101</v>
      </c>
      <c r="B20" t="s">
        <v>69</v>
      </c>
      <c r="C20" t="s">
        <v>18</v>
      </c>
      <c r="D20">
        <v>16685.0611405497</v>
      </c>
      <c r="E20">
        <v>4.0780109291122404</v>
      </c>
    </row>
    <row r="21" spans="1:5" x14ac:dyDescent="0.45">
      <c r="A21" t="s">
        <v>101</v>
      </c>
      <c r="B21" t="s">
        <v>70</v>
      </c>
      <c r="C21" t="s">
        <v>18</v>
      </c>
      <c r="D21">
        <v>15094.1612928008</v>
      </c>
      <c r="E21">
        <v>4.3029887614365299</v>
      </c>
    </row>
    <row r="22" spans="1:5" x14ac:dyDescent="0.45">
      <c r="A22" t="s">
        <v>101</v>
      </c>
      <c r="B22" t="s">
        <v>69</v>
      </c>
      <c r="C22" t="s">
        <v>19</v>
      </c>
      <c r="D22">
        <v>16361.1941174521</v>
      </c>
      <c r="E22">
        <v>4.1795774573480902</v>
      </c>
    </row>
    <row r="23" spans="1:5" x14ac:dyDescent="0.45">
      <c r="A23" t="s">
        <v>101</v>
      </c>
      <c r="B23" t="s">
        <v>70</v>
      </c>
      <c r="C23" t="s">
        <v>19</v>
      </c>
      <c r="D23">
        <v>14845.9101547394</v>
      </c>
      <c r="E23">
        <v>4.3488829757136704</v>
      </c>
    </row>
    <row r="24" spans="1:5" x14ac:dyDescent="0.45">
      <c r="A24" t="s">
        <v>101</v>
      </c>
      <c r="B24" t="s">
        <v>69</v>
      </c>
      <c r="C24" t="s">
        <v>20</v>
      </c>
      <c r="D24">
        <v>15491.3228257393</v>
      </c>
      <c r="E24">
        <v>4.09228037341241</v>
      </c>
    </row>
    <row r="25" spans="1:5" x14ac:dyDescent="0.45">
      <c r="A25" t="s">
        <v>101</v>
      </c>
      <c r="B25" t="s">
        <v>70</v>
      </c>
      <c r="C25" t="s">
        <v>20</v>
      </c>
      <c r="D25">
        <v>13779.3560708117</v>
      </c>
      <c r="E25">
        <v>4.1771547003932898</v>
      </c>
    </row>
    <row r="26" spans="1:5" x14ac:dyDescent="0.45">
      <c r="A26" t="s">
        <v>101</v>
      </c>
      <c r="B26" t="s">
        <v>69</v>
      </c>
      <c r="C26" t="s">
        <v>21</v>
      </c>
      <c r="D26">
        <v>12693.0989681256</v>
      </c>
      <c r="E26">
        <v>4.0669779541168598</v>
      </c>
    </row>
    <row r="27" spans="1:5" x14ac:dyDescent="0.45">
      <c r="A27" t="s">
        <v>101</v>
      </c>
      <c r="B27" t="s">
        <v>70</v>
      </c>
      <c r="C27" t="s">
        <v>21</v>
      </c>
      <c r="D27">
        <v>10809.192800317</v>
      </c>
      <c r="E27">
        <v>4.1125635941568097</v>
      </c>
    </row>
    <row r="28" spans="1:5" x14ac:dyDescent="0.45">
      <c r="A28" t="s">
        <v>101</v>
      </c>
      <c r="B28" t="s">
        <v>69</v>
      </c>
      <c r="C28" t="s">
        <v>22</v>
      </c>
      <c r="D28">
        <v>9065.3162844602793</v>
      </c>
      <c r="E28">
        <v>5.1434439186672796</v>
      </c>
    </row>
    <row r="29" spans="1:5" x14ac:dyDescent="0.45">
      <c r="A29" t="s">
        <v>101</v>
      </c>
      <c r="B29" t="s">
        <v>70</v>
      </c>
      <c r="C29" t="s">
        <v>22</v>
      </c>
      <c r="D29">
        <v>7914.1925650322501</v>
      </c>
      <c r="E29">
        <v>5.0358527814745599</v>
      </c>
    </row>
    <row r="30" spans="1:5" x14ac:dyDescent="0.45">
      <c r="A30" t="s">
        <v>101</v>
      </c>
      <c r="B30" t="s">
        <v>69</v>
      </c>
      <c r="C30" t="s">
        <v>23</v>
      </c>
      <c r="D30">
        <v>5694.1774404937196</v>
      </c>
      <c r="E30">
        <v>4.8916740171414599</v>
      </c>
    </row>
    <row r="31" spans="1:5" x14ac:dyDescent="0.45">
      <c r="A31" t="s">
        <v>101</v>
      </c>
      <c r="B31" t="s">
        <v>70</v>
      </c>
      <c r="C31" t="s">
        <v>23</v>
      </c>
      <c r="D31">
        <v>4942.1120951330804</v>
      </c>
      <c r="E31">
        <v>4.7329833597956901</v>
      </c>
    </row>
    <row r="32" spans="1:5" x14ac:dyDescent="0.45">
      <c r="A32" t="s">
        <v>101</v>
      </c>
      <c r="B32" t="s">
        <v>69</v>
      </c>
      <c r="C32" t="s">
        <v>24</v>
      </c>
      <c r="D32">
        <v>2115.5610905026701</v>
      </c>
      <c r="E32">
        <v>3.90373475095716</v>
      </c>
    </row>
    <row r="33" spans="1:8" x14ac:dyDescent="0.45">
      <c r="A33" t="s">
        <v>101</v>
      </c>
      <c r="B33" t="s">
        <v>70</v>
      </c>
      <c r="C33" t="s">
        <v>24</v>
      </c>
      <c r="D33">
        <v>1747.17348373654</v>
      </c>
      <c r="E33">
        <v>3.7092414352686198</v>
      </c>
    </row>
    <row r="35" spans="1:8" x14ac:dyDescent="0.45">
      <c r="A35" t="s">
        <v>102</v>
      </c>
    </row>
    <row r="37" spans="1:8" x14ac:dyDescent="0.45">
      <c r="A37" t="s">
        <v>1</v>
      </c>
      <c r="B37" t="s">
        <v>2</v>
      </c>
      <c r="C37" t="s">
        <v>4</v>
      </c>
      <c r="D37" t="s">
        <v>26</v>
      </c>
      <c r="E37" t="s">
        <v>27</v>
      </c>
      <c r="F37" t="s">
        <v>28</v>
      </c>
      <c r="G37" t="s">
        <v>29</v>
      </c>
      <c r="H37" t="s">
        <v>30</v>
      </c>
    </row>
    <row r="38" spans="1:8" x14ac:dyDescent="0.45">
      <c r="A38" t="s">
        <v>101</v>
      </c>
      <c r="B38" t="s">
        <v>69</v>
      </c>
      <c r="C38">
        <v>161810.96896708501</v>
      </c>
      <c r="D38">
        <v>6392</v>
      </c>
      <c r="E38">
        <v>3.9502884389130801</v>
      </c>
      <c r="F38">
        <v>3.7608489245924499</v>
      </c>
      <c r="G38">
        <v>3.7591355329513298</v>
      </c>
      <c r="H38">
        <v>3.76256231623357</v>
      </c>
    </row>
    <row r="39" spans="1:8" x14ac:dyDescent="0.45">
      <c r="A39" t="s">
        <v>101</v>
      </c>
      <c r="B39" t="s">
        <v>70</v>
      </c>
      <c r="C39">
        <v>155776.510699654</v>
      </c>
      <c r="D39">
        <v>6458</v>
      </c>
      <c r="E39">
        <v>4.1456827932494997</v>
      </c>
      <c r="F39">
        <v>3.96966000897197</v>
      </c>
      <c r="G39">
        <v>3.9678714696301398</v>
      </c>
      <c r="H39">
        <v>3.9714485483137998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9"/>
  <sheetViews>
    <sheetView workbookViewId="0"/>
  </sheetViews>
  <sheetFormatPr baseColWidth="10" defaultRowHeight="14.25" x14ac:dyDescent="0.45"/>
  <sheetData>
    <row r="1" spans="1:5" x14ac:dyDescent="0.45">
      <c r="A1" t="s">
        <v>103</v>
      </c>
    </row>
    <row r="3" spans="1:5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45">
      <c r="A4" t="s">
        <v>104</v>
      </c>
      <c r="B4" t="s">
        <v>69</v>
      </c>
      <c r="C4" t="s">
        <v>8</v>
      </c>
      <c r="D4">
        <v>2543.32734724186</v>
      </c>
      <c r="E4">
        <v>3.1031373172402299</v>
      </c>
    </row>
    <row r="5" spans="1:5" x14ac:dyDescent="0.45">
      <c r="A5" t="s">
        <v>104</v>
      </c>
      <c r="B5" t="s">
        <v>70</v>
      </c>
      <c r="C5" t="s">
        <v>8</v>
      </c>
      <c r="D5">
        <v>2585.6162247859602</v>
      </c>
      <c r="E5">
        <v>3.6885690049714102</v>
      </c>
    </row>
    <row r="6" spans="1:5" x14ac:dyDescent="0.45">
      <c r="A6" t="s">
        <v>104</v>
      </c>
      <c r="B6" t="s">
        <v>69</v>
      </c>
      <c r="C6" t="s">
        <v>11</v>
      </c>
      <c r="D6">
        <v>5192.26391243742</v>
      </c>
      <c r="E6">
        <v>3.0884428535648398</v>
      </c>
    </row>
    <row r="7" spans="1:5" x14ac:dyDescent="0.45">
      <c r="A7" t="s">
        <v>104</v>
      </c>
      <c r="B7" t="s">
        <v>70</v>
      </c>
      <c r="C7" t="s">
        <v>11</v>
      </c>
      <c r="D7">
        <v>5313.4181836183898</v>
      </c>
      <c r="E7">
        <v>3.5892683930563498</v>
      </c>
    </row>
    <row r="8" spans="1:5" x14ac:dyDescent="0.45">
      <c r="A8" t="s">
        <v>104</v>
      </c>
      <c r="B8" t="s">
        <v>69</v>
      </c>
      <c r="C8" t="s">
        <v>12</v>
      </c>
      <c r="D8">
        <v>8090.0874535789799</v>
      </c>
      <c r="E8">
        <v>3.0679573745295499</v>
      </c>
    </row>
    <row r="9" spans="1:5" x14ac:dyDescent="0.45">
      <c r="A9" t="s">
        <v>104</v>
      </c>
      <c r="B9" t="s">
        <v>70</v>
      </c>
      <c r="C9" t="s">
        <v>12</v>
      </c>
      <c r="D9">
        <v>7998.3504452564703</v>
      </c>
      <c r="E9">
        <v>3.5717138175129799</v>
      </c>
    </row>
    <row r="10" spans="1:5" x14ac:dyDescent="0.45">
      <c r="A10" t="s">
        <v>104</v>
      </c>
      <c r="B10" t="s">
        <v>69</v>
      </c>
      <c r="C10" t="s">
        <v>13</v>
      </c>
      <c r="D10">
        <v>10910.431977642</v>
      </c>
      <c r="E10">
        <v>3.0277433396826599</v>
      </c>
    </row>
    <row r="11" spans="1:5" x14ac:dyDescent="0.45">
      <c r="A11" t="s">
        <v>104</v>
      </c>
      <c r="B11" t="s">
        <v>70</v>
      </c>
      <c r="C11" t="s">
        <v>13</v>
      </c>
      <c r="D11">
        <v>10896.7533515082</v>
      </c>
      <c r="E11">
        <v>3.5699864744771199</v>
      </c>
    </row>
    <row r="12" spans="1:5" x14ac:dyDescent="0.45">
      <c r="A12" t="s">
        <v>104</v>
      </c>
      <c r="B12" t="s">
        <v>69</v>
      </c>
      <c r="C12" t="s">
        <v>14</v>
      </c>
      <c r="D12">
        <v>13563.697181338301</v>
      </c>
      <c r="E12">
        <v>3.25749369353534</v>
      </c>
    </row>
    <row r="13" spans="1:5" x14ac:dyDescent="0.45">
      <c r="A13" t="s">
        <v>104</v>
      </c>
      <c r="B13" t="s">
        <v>70</v>
      </c>
      <c r="C13" t="s">
        <v>14</v>
      </c>
      <c r="D13">
        <v>13727.2759855806</v>
      </c>
      <c r="E13">
        <v>3.7200436063348699</v>
      </c>
    </row>
    <row r="14" spans="1:5" x14ac:dyDescent="0.45">
      <c r="A14" t="s">
        <v>104</v>
      </c>
      <c r="B14" t="s">
        <v>69</v>
      </c>
      <c r="C14" t="s">
        <v>15</v>
      </c>
      <c r="D14">
        <v>14120.8068085922</v>
      </c>
      <c r="E14">
        <v>3.2849652060963099</v>
      </c>
    </row>
    <row r="15" spans="1:5" x14ac:dyDescent="0.45">
      <c r="A15" t="s">
        <v>104</v>
      </c>
      <c r="B15" t="s">
        <v>70</v>
      </c>
      <c r="C15" t="s">
        <v>15</v>
      </c>
      <c r="D15">
        <v>14160.7193800073</v>
      </c>
      <c r="E15">
        <v>3.7662477479824998</v>
      </c>
    </row>
    <row r="16" spans="1:5" x14ac:dyDescent="0.45">
      <c r="A16" t="s">
        <v>104</v>
      </c>
      <c r="B16" t="s">
        <v>69</v>
      </c>
      <c r="C16" t="s">
        <v>16</v>
      </c>
      <c r="D16">
        <v>14765.144321453299</v>
      </c>
      <c r="E16">
        <v>3.3075972595244298</v>
      </c>
    </row>
    <row r="17" spans="1:5" x14ac:dyDescent="0.45">
      <c r="A17" t="s">
        <v>104</v>
      </c>
      <c r="B17" t="s">
        <v>70</v>
      </c>
      <c r="C17" t="s">
        <v>16</v>
      </c>
      <c r="D17">
        <v>14827.089749099599</v>
      </c>
      <c r="E17">
        <v>3.8175815834804698</v>
      </c>
    </row>
    <row r="18" spans="1:5" x14ac:dyDescent="0.45">
      <c r="A18" t="s">
        <v>104</v>
      </c>
      <c r="B18" t="s">
        <v>69</v>
      </c>
      <c r="C18" t="s">
        <v>17</v>
      </c>
      <c r="D18">
        <v>15803.781319293101</v>
      </c>
      <c r="E18">
        <v>3.33311239047028</v>
      </c>
    </row>
    <row r="19" spans="1:5" x14ac:dyDescent="0.45">
      <c r="A19" t="s">
        <v>104</v>
      </c>
      <c r="B19" t="s">
        <v>70</v>
      </c>
      <c r="C19" t="s">
        <v>17</v>
      </c>
      <c r="D19">
        <v>15850.8856954109</v>
      </c>
      <c r="E19">
        <v>3.8198415093562401</v>
      </c>
    </row>
    <row r="20" spans="1:5" x14ac:dyDescent="0.45">
      <c r="A20" t="s">
        <v>104</v>
      </c>
      <c r="B20" t="s">
        <v>69</v>
      </c>
      <c r="C20" t="s">
        <v>18</v>
      </c>
      <c r="D20">
        <v>15924.6103049051</v>
      </c>
      <c r="E20">
        <v>3.8987968102571098</v>
      </c>
    </row>
    <row r="21" spans="1:5" x14ac:dyDescent="0.45">
      <c r="A21" t="s">
        <v>104</v>
      </c>
      <c r="B21" t="s">
        <v>70</v>
      </c>
      <c r="C21" t="s">
        <v>18</v>
      </c>
      <c r="D21">
        <v>15854.6121284454</v>
      </c>
      <c r="E21">
        <v>4.4722032714843003</v>
      </c>
    </row>
    <row r="22" spans="1:5" x14ac:dyDescent="0.45">
      <c r="A22" t="s">
        <v>104</v>
      </c>
      <c r="B22" t="s">
        <v>69</v>
      </c>
      <c r="C22" t="s">
        <v>19</v>
      </c>
      <c r="D22">
        <v>15621.2405341171</v>
      </c>
      <c r="E22">
        <v>3.9611941144509002</v>
      </c>
    </row>
    <row r="23" spans="1:5" x14ac:dyDescent="0.45">
      <c r="A23" t="s">
        <v>104</v>
      </c>
      <c r="B23" t="s">
        <v>70</v>
      </c>
      <c r="C23" t="s">
        <v>19</v>
      </c>
      <c r="D23">
        <v>15585.8637380744</v>
      </c>
      <c r="E23">
        <v>4.5597240659652796</v>
      </c>
    </row>
    <row r="24" spans="1:5" x14ac:dyDescent="0.45">
      <c r="A24" t="s">
        <v>104</v>
      </c>
      <c r="B24" t="s">
        <v>69</v>
      </c>
      <c r="C24" t="s">
        <v>20</v>
      </c>
      <c r="D24">
        <v>14586.384033714699</v>
      </c>
      <c r="E24">
        <v>3.83485839803051</v>
      </c>
    </row>
    <row r="25" spans="1:5" x14ac:dyDescent="0.45">
      <c r="A25" t="s">
        <v>104</v>
      </c>
      <c r="B25" t="s">
        <v>70</v>
      </c>
      <c r="C25" t="s">
        <v>20</v>
      </c>
      <c r="D25">
        <v>14684.294862836299</v>
      </c>
      <c r="E25">
        <v>4.4276297661054604</v>
      </c>
    </row>
    <row r="26" spans="1:5" x14ac:dyDescent="0.45">
      <c r="A26" t="s">
        <v>104</v>
      </c>
      <c r="B26" t="s">
        <v>69</v>
      </c>
      <c r="C26" t="s">
        <v>21</v>
      </c>
      <c r="D26">
        <v>11973.9249905045</v>
      </c>
      <c r="E26">
        <v>3.77978187873765</v>
      </c>
    </row>
    <row r="27" spans="1:5" x14ac:dyDescent="0.45">
      <c r="A27" t="s">
        <v>104</v>
      </c>
      <c r="B27" t="s">
        <v>70</v>
      </c>
      <c r="C27" t="s">
        <v>21</v>
      </c>
      <c r="D27">
        <v>11528.366777938099</v>
      </c>
      <c r="E27">
        <v>4.4080157014410997</v>
      </c>
    </row>
    <row r="28" spans="1:5" x14ac:dyDescent="0.45">
      <c r="A28" t="s">
        <v>104</v>
      </c>
      <c r="B28" t="s">
        <v>69</v>
      </c>
      <c r="C28" t="s">
        <v>22</v>
      </c>
      <c r="D28">
        <v>8613.0898204960704</v>
      </c>
      <c r="E28">
        <v>4.7507941200375399</v>
      </c>
    </row>
    <row r="29" spans="1:5" x14ac:dyDescent="0.45">
      <c r="A29" t="s">
        <v>104</v>
      </c>
      <c r="B29" t="s">
        <v>70</v>
      </c>
      <c r="C29" t="s">
        <v>22</v>
      </c>
      <c r="D29">
        <v>8366.4190289964499</v>
      </c>
      <c r="E29">
        <v>5.4458948235040703</v>
      </c>
    </row>
    <row r="30" spans="1:5" x14ac:dyDescent="0.45">
      <c r="A30" t="s">
        <v>104</v>
      </c>
      <c r="B30" t="s">
        <v>69</v>
      </c>
      <c r="C30" t="s">
        <v>23</v>
      </c>
      <c r="D30">
        <v>5309.9891848613097</v>
      </c>
      <c r="E30">
        <v>4.49803136761704</v>
      </c>
    </row>
    <row r="31" spans="1:5" x14ac:dyDescent="0.45">
      <c r="A31" t="s">
        <v>104</v>
      </c>
      <c r="B31" t="s">
        <v>70</v>
      </c>
      <c r="C31" t="s">
        <v>23</v>
      </c>
      <c r="D31">
        <v>5326.3003507655003</v>
      </c>
      <c r="E31">
        <v>5.1368669481848599</v>
      </c>
    </row>
    <row r="32" spans="1:5" x14ac:dyDescent="0.45">
      <c r="A32" t="s">
        <v>104</v>
      </c>
      <c r="B32" t="s">
        <v>69</v>
      </c>
      <c r="C32" t="s">
        <v>24</v>
      </c>
      <c r="D32">
        <v>1933.33913304878</v>
      </c>
      <c r="E32">
        <v>3.5237273047964299</v>
      </c>
    </row>
    <row r="33" spans="1:8" x14ac:dyDescent="0.45">
      <c r="A33" t="s">
        <v>104</v>
      </c>
      <c r="B33" t="s">
        <v>70</v>
      </c>
      <c r="C33" t="s">
        <v>24</v>
      </c>
      <c r="D33">
        <v>1929.3954411904299</v>
      </c>
      <c r="E33">
        <v>4.1083945600079304</v>
      </c>
    </row>
    <row r="35" spans="1:8" x14ac:dyDescent="0.45">
      <c r="A35" t="s">
        <v>105</v>
      </c>
    </row>
    <row r="37" spans="1:8" x14ac:dyDescent="0.45">
      <c r="A37" t="s">
        <v>1</v>
      </c>
      <c r="B37" t="s">
        <v>2</v>
      </c>
      <c r="C37" t="s">
        <v>4</v>
      </c>
      <c r="D37" t="s">
        <v>26</v>
      </c>
      <c r="E37" t="s">
        <v>27</v>
      </c>
      <c r="F37" t="s">
        <v>28</v>
      </c>
      <c r="G37" t="s">
        <v>29</v>
      </c>
      <c r="H37" t="s">
        <v>30</v>
      </c>
    </row>
    <row r="38" spans="1:8" x14ac:dyDescent="0.45">
      <c r="A38" t="s">
        <v>104</v>
      </c>
      <c r="B38" t="s">
        <v>69</v>
      </c>
      <c r="C38">
        <v>158952.118323225</v>
      </c>
      <c r="D38">
        <v>5976</v>
      </c>
      <c r="E38">
        <v>3.7596227486871001</v>
      </c>
      <c r="F38">
        <v>3.5900275575332299</v>
      </c>
      <c r="G38">
        <v>3.58843436707508</v>
      </c>
      <c r="H38">
        <v>3.5916207479913802</v>
      </c>
    </row>
    <row r="39" spans="1:8" x14ac:dyDescent="0.45">
      <c r="A39" t="s">
        <v>104</v>
      </c>
      <c r="B39" t="s">
        <v>70</v>
      </c>
      <c r="C39">
        <v>158635.361343514</v>
      </c>
      <c r="D39">
        <v>6874</v>
      </c>
      <c r="E39">
        <v>4.3332078937399201</v>
      </c>
      <c r="F39">
        <v>4.1370593720206896</v>
      </c>
      <c r="G39">
        <v>4.1351644748286498</v>
      </c>
      <c r="H39">
        <v>4.1389542692127304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workbookViewId="0"/>
  </sheetViews>
  <sheetFormatPr baseColWidth="10" defaultRowHeight="14.25" x14ac:dyDescent="0.45"/>
  <sheetData>
    <row r="1" spans="1:5" x14ac:dyDescent="0.45">
      <c r="A1" t="s">
        <v>106</v>
      </c>
    </row>
    <row r="3" spans="1:5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45">
      <c r="A4" t="s">
        <v>107</v>
      </c>
      <c r="B4" t="s">
        <v>108</v>
      </c>
      <c r="C4" t="s">
        <v>8</v>
      </c>
      <c r="D4">
        <v>1337.7000739937</v>
      </c>
      <c r="E4">
        <v>3.85946167814767</v>
      </c>
    </row>
    <row r="5" spans="1:5" x14ac:dyDescent="0.45">
      <c r="A5" t="s">
        <v>107</v>
      </c>
      <c r="B5" t="s">
        <v>109</v>
      </c>
      <c r="C5" t="s">
        <v>8</v>
      </c>
      <c r="D5">
        <v>3437.62025668875</v>
      </c>
      <c r="E5">
        <v>3.26072803767339</v>
      </c>
    </row>
    <row r="6" spans="1:5" x14ac:dyDescent="0.45">
      <c r="A6" t="s">
        <v>107</v>
      </c>
      <c r="B6" t="s">
        <v>110</v>
      </c>
      <c r="C6" t="s">
        <v>8</v>
      </c>
      <c r="D6">
        <v>353.62324134537499</v>
      </c>
      <c r="E6">
        <v>2.9906714738656799</v>
      </c>
    </row>
    <row r="7" spans="1:5" x14ac:dyDescent="0.45">
      <c r="A7" t="s">
        <v>107</v>
      </c>
      <c r="B7" t="s">
        <v>108</v>
      </c>
      <c r="C7" t="s">
        <v>11</v>
      </c>
      <c r="D7">
        <v>2562.89066046672</v>
      </c>
      <c r="E7">
        <v>3.7776352303415202</v>
      </c>
    </row>
    <row r="8" spans="1:5" x14ac:dyDescent="0.45">
      <c r="A8" t="s">
        <v>107</v>
      </c>
      <c r="B8" t="s">
        <v>109</v>
      </c>
      <c r="C8" t="s">
        <v>11</v>
      </c>
      <c r="D8">
        <v>6906.12344772709</v>
      </c>
      <c r="E8">
        <v>3.2361468353274199</v>
      </c>
    </row>
    <row r="9" spans="1:5" x14ac:dyDescent="0.45">
      <c r="A9" t="s">
        <v>107</v>
      </c>
      <c r="B9" t="s">
        <v>110</v>
      </c>
      <c r="C9" t="s">
        <v>11</v>
      </c>
      <c r="D9">
        <v>1036.66798786199</v>
      </c>
      <c r="E9">
        <v>2.9675834168007298</v>
      </c>
    </row>
    <row r="10" spans="1:5" x14ac:dyDescent="0.45">
      <c r="A10" t="s">
        <v>107</v>
      </c>
      <c r="B10" t="s">
        <v>108</v>
      </c>
      <c r="C10" t="s">
        <v>12</v>
      </c>
      <c r="D10">
        <v>3277.6041902179199</v>
      </c>
      <c r="E10">
        <v>3.7759003387735901</v>
      </c>
    </row>
    <row r="11" spans="1:5" x14ac:dyDescent="0.45">
      <c r="A11" t="s">
        <v>107</v>
      </c>
      <c r="B11" t="s">
        <v>109</v>
      </c>
      <c r="C11" t="s">
        <v>12</v>
      </c>
      <c r="D11">
        <v>10780.148456892501</v>
      </c>
      <c r="E11">
        <v>3.2134732229646099</v>
      </c>
    </row>
    <row r="12" spans="1:5" x14ac:dyDescent="0.45">
      <c r="A12" t="s">
        <v>107</v>
      </c>
      <c r="B12" t="s">
        <v>110</v>
      </c>
      <c r="C12" t="s">
        <v>12</v>
      </c>
      <c r="D12">
        <v>2030.68525172506</v>
      </c>
      <c r="E12">
        <v>3.1369888972217099</v>
      </c>
    </row>
    <row r="13" spans="1:5" x14ac:dyDescent="0.45">
      <c r="A13" t="s">
        <v>107</v>
      </c>
      <c r="B13" t="s">
        <v>108</v>
      </c>
      <c r="C13" t="s">
        <v>13</v>
      </c>
      <c r="D13">
        <v>3758.2651946259198</v>
      </c>
      <c r="E13">
        <v>3.82868582495641</v>
      </c>
    </row>
    <row r="14" spans="1:5" x14ac:dyDescent="0.45">
      <c r="A14" t="s">
        <v>107</v>
      </c>
      <c r="B14" t="s">
        <v>109</v>
      </c>
      <c r="C14" t="s">
        <v>13</v>
      </c>
      <c r="D14">
        <v>14653.1468031801</v>
      </c>
      <c r="E14">
        <v>3.2221850670360599</v>
      </c>
    </row>
    <row r="15" spans="1:5" x14ac:dyDescent="0.45">
      <c r="A15" t="s">
        <v>107</v>
      </c>
      <c r="B15" t="s">
        <v>110</v>
      </c>
      <c r="C15" t="s">
        <v>13</v>
      </c>
      <c r="D15">
        <v>3395.77333134422</v>
      </c>
      <c r="E15">
        <v>3.04227677602056</v>
      </c>
    </row>
    <row r="16" spans="1:5" x14ac:dyDescent="0.45">
      <c r="A16" t="s">
        <v>107</v>
      </c>
      <c r="B16" t="s">
        <v>108</v>
      </c>
      <c r="C16" t="s">
        <v>14</v>
      </c>
      <c r="D16">
        <v>3843.0116547940802</v>
      </c>
      <c r="E16">
        <v>4.0972383567824799</v>
      </c>
    </row>
    <row r="17" spans="1:5" x14ac:dyDescent="0.45">
      <c r="A17" t="s">
        <v>107</v>
      </c>
      <c r="B17" t="s">
        <v>109</v>
      </c>
      <c r="C17" t="s">
        <v>14</v>
      </c>
      <c r="D17">
        <v>18554.443894108099</v>
      </c>
      <c r="E17">
        <v>3.4238995959203602</v>
      </c>
    </row>
    <row r="18" spans="1:5" x14ac:dyDescent="0.45">
      <c r="A18" t="s">
        <v>107</v>
      </c>
      <c r="B18" t="s">
        <v>110</v>
      </c>
      <c r="C18" t="s">
        <v>14</v>
      </c>
      <c r="D18">
        <v>4893.51761801677</v>
      </c>
      <c r="E18">
        <v>3.2646118456424902</v>
      </c>
    </row>
    <row r="19" spans="1:5" x14ac:dyDescent="0.45">
      <c r="A19" t="s">
        <v>107</v>
      </c>
      <c r="B19" t="s">
        <v>108</v>
      </c>
      <c r="C19" t="s">
        <v>15</v>
      </c>
      <c r="D19">
        <v>3939.1931785143402</v>
      </c>
      <c r="E19">
        <v>4.1722589112285302</v>
      </c>
    </row>
    <row r="20" spans="1:5" x14ac:dyDescent="0.45">
      <c r="A20" t="s">
        <v>107</v>
      </c>
      <c r="B20" t="s">
        <v>109</v>
      </c>
      <c r="C20" t="s">
        <v>15</v>
      </c>
      <c r="D20">
        <v>19052.7548462757</v>
      </c>
      <c r="E20">
        <v>3.4593983975982101</v>
      </c>
    </row>
    <row r="21" spans="1:5" x14ac:dyDescent="0.45">
      <c r="A21" t="s">
        <v>107</v>
      </c>
      <c r="B21" t="s">
        <v>110</v>
      </c>
      <c r="C21" t="s">
        <v>15</v>
      </c>
      <c r="D21">
        <v>5289.5781638094904</v>
      </c>
      <c r="E21">
        <v>3.2843324283805502</v>
      </c>
    </row>
    <row r="22" spans="1:5" x14ac:dyDescent="0.45">
      <c r="A22" t="s">
        <v>107</v>
      </c>
      <c r="B22" t="s">
        <v>108</v>
      </c>
      <c r="C22" t="s">
        <v>16</v>
      </c>
      <c r="D22">
        <v>4184.6783425199401</v>
      </c>
      <c r="E22">
        <v>4.1480170855082603</v>
      </c>
    </row>
    <row r="23" spans="1:5" x14ac:dyDescent="0.45">
      <c r="A23" t="s">
        <v>107</v>
      </c>
      <c r="B23" t="s">
        <v>109</v>
      </c>
      <c r="C23" t="s">
        <v>16</v>
      </c>
      <c r="D23">
        <v>19956.299537014798</v>
      </c>
      <c r="E23">
        <v>3.5088088954267298</v>
      </c>
    </row>
    <row r="24" spans="1:5" x14ac:dyDescent="0.45">
      <c r="A24" t="s">
        <v>107</v>
      </c>
      <c r="B24" t="s">
        <v>110</v>
      </c>
      <c r="C24" t="s">
        <v>16</v>
      </c>
      <c r="D24">
        <v>5451.2561910182603</v>
      </c>
      <c r="E24">
        <v>3.3129642832134598</v>
      </c>
    </row>
    <row r="25" spans="1:5" x14ac:dyDescent="0.45">
      <c r="A25" t="s">
        <v>107</v>
      </c>
      <c r="B25" t="s">
        <v>108</v>
      </c>
      <c r="C25" t="s">
        <v>17</v>
      </c>
      <c r="D25">
        <v>4436.2516472245798</v>
      </c>
      <c r="E25">
        <v>4.1738783348723096</v>
      </c>
    </row>
    <row r="26" spans="1:5" x14ac:dyDescent="0.45">
      <c r="A26" t="s">
        <v>107</v>
      </c>
      <c r="B26" t="s">
        <v>109</v>
      </c>
      <c r="C26" t="s">
        <v>17</v>
      </c>
      <c r="D26">
        <v>21357.6934976058</v>
      </c>
      <c r="E26">
        <v>3.5243287699607202</v>
      </c>
    </row>
    <row r="27" spans="1:5" x14ac:dyDescent="0.45">
      <c r="A27" t="s">
        <v>107</v>
      </c>
      <c r="B27" t="s">
        <v>110</v>
      </c>
      <c r="C27" t="s">
        <v>17</v>
      </c>
      <c r="D27">
        <v>5860.7218698735696</v>
      </c>
      <c r="E27">
        <v>3.31627103461609</v>
      </c>
    </row>
    <row r="28" spans="1:5" x14ac:dyDescent="0.45">
      <c r="A28" t="s">
        <v>107</v>
      </c>
      <c r="B28" t="s">
        <v>108</v>
      </c>
      <c r="C28" t="s">
        <v>18</v>
      </c>
      <c r="D28">
        <v>4362.8884461213402</v>
      </c>
      <c r="E28">
        <v>4.9463396429416697</v>
      </c>
    </row>
    <row r="29" spans="1:5" x14ac:dyDescent="0.45">
      <c r="A29" t="s">
        <v>107</v>
      </c>
      <c r="B29" t="s">
        <v>109</v>
      </c>
      <c r="C29" t="s">
        <v>18</v>
      </c>
      <c r="D29">
        <v>21558.873097584401</v>
      </c>
      <c r="E29">
        <v>4.1252494562336404</v>
      </c>
    </row>
    <row r="30" spans="1:5" x14ac:dyDescent="0.45">
      <c r="A30" t="s">
        <v>107</v>
      </c>
      <c r="B30" t="s">
        <v>110</v>
      </c>
      <c r="C30" t="s">
        <v>18</v>
      </c>
      <c r="D30">
        <v>5857.4608896448599</v>
      </c>
      <c r="E30">
        <v>3.83712514895864</v>
      </c>
    </row>
    <row r="31" spans="1:5" x14ac:dyDescent="0.45">
      <c r="A31" t="s">
        <v>107</v>
      </c>
      <c r="B31" t="s">
        <v>108</v>
      </c>
      <c r="C31" t="s">
        <v>19</v>
      </c>
      <c r="D31">
        <v>4192.1584156976496</v>
      </c>
      <c r="E31">
        <v>5.1595282405081804</v>
      </c>
    </row>
    <row r="32" spans="1:5" x14ac:dyDescent="0.45">
      <c r="A32" t="s">
        <v>107</v>
      </c>
      <c r="B32" t="s">
        <v>109</v>
      </c>
      <c r="C32" t="s">
        <v>19</v>
      </c>
      <c r="D32">
        <v>21312.8239901657</v>
      </c>
      <c r="E32">
        <v>4.1745081698795801</v>
      </c>
    </row>
    <row r="33" spans="1:5" x14ac:dyDescent="0.45">
      <c r="A33" t="s">
        <v>107</v>
      </c>
      <c r="B33" t="s">
        <v>110</v>
      </c>
      <c r="C33" t="s">
        <v>19</v>
      </c>
      <c r="D33">
        <v>5702.1218663281197</v>
      </c>
      <c r="E33">
        <v>3.91887212492728</v>
      </c>
    </row>
    <row r="34" spans="1:5" x14ac:dyDescent="0.45">
      <c r="A34" t="s">
        <v>107</v>
      </c>
      <c r="B34" t="s">
        <v>108</v>
      </c>
      <c r="C34" t="s">
        <v>20</v>
      </c>
      <c r="D34">
        <v>3714.0153275196099</v>
      </c>
      <c r="E34">
        <v>4.6116210926082903</v>
      </c>
    </row>
    <row r="35" spans="1:5" x14ac:dyDescent="0.45">
      <c r="A35" t="s">
        <v>107</v>
      </c>
      <c r="B35" t="s">
        <v>109</v>
      </c>
      <c r="C35" t="s">
        <v>20</v>
      </c>
      <c r="D35">
        <v>19839.435691472001</v>
      </c>
      <c r="E35">
        <v>4.0850227216735702</v>
      </c>
    </row>
    <row r="36" spans="1:5" x14ac:dyDescent="0.45">
      <c r="A36" t="s">
        <v>107</v>
      </c>
      <c r="B36" t="s">
        <v>110</v>
      </c>
      <c r="C36" t="s">
        <v>20</v>
      </c>
      <c r="D36">
        <v>5717.2278775593304</v>
      </c>
      <c r="E36">
        <v>3.9846516210182599</v>
      </c>
    </row>
    <row r="37" spans="1:5" x14ac:dyDescent="0.45">
      <c r="A37" t="s">
        <v>107</v>
      </c>
      <c r="B37" t="s">
        <v>108</v>
      </c>
      <c r="C37" t="s">
        <v>21</v>
      </c>
      <c r="D37">
        <v>2139.9676169089698</v>
      </c>
      <c r="E37">
        <v>4.5490579276400203</v>
      </c>
    </row>
    <row r="38" spans="1:5" x14ac:dyDescent="0.45">
      <c r="A38" t="s">
        <v>107</v>
      </c>
      <c r="B38" t="s">
        <v>109</v>
      </c>
      <c r="C38" t="s">
        <v>21</v>
      </c>
      <c r="D38">
        <v>16080.9563017282</v>
      </c>
      <c r="E38">
        <v>4.06616676339363</v>
      </c>
    </row>
    <row r="39" spans="1:5" x14ac:dyDescent="0.45">
      <c r="A39" t="s">
        <v>107</v>
      </c>
      <c r="B39" t="s">
        <v>110</v>
      </c>
      <c r="C39" t="s">
        <v>21</v>
      </c>
      <c r="D39">
        <v>5281.3678498054396</v>
      </c>
      <c r="E39">
        <v>3.9674115439814699</v>
      </c>
    </row>
    <row r="40" spans="1:5" x14ac:dyDescent="0.45">
      <c r="A40" t="s">
        <v>107</v>
      </c>
      <c r="B40" t="s">
        <v>108</v>
      </c>
      <c r="C40" t="s">
        <v>22</v>
      </c>
      <c r="D40">
        <v>990.70045962696895</v>
      </c>
      <c r="E40">
        <v>5.4985033073135599</v>
      </c>
    </row>
    <row r="41" spans="1:5" x14ac:dyDescent="0.45">
      <c r="A41" t="s">
        <v>107</v>
      </c>
      <c r="B41" t="s">
        <v>109</v>
      </c>
      <c r="C41" t="s">
        <v>22</v>
      </c>
      <c r="D41">
        <v>11646.623827219601</v>
      </c>
      <c r="E41">
        <v>5.1221232132246399</v>
      </c>
    </row>
    <row r="42" spans="1:5" x14ac:dyDescent="0.45">
      <c r="A42" t="s">
        <v>107</v>
      </c>
      <c r="B42" t="s">
        <v>110</v>
      </c>
      <c r="C42" t="s">
        <v>22</v>
      </c>
      <c r="D42">
        <v>4342.1845626459899</v>
      </c>
      <c r="E42">
        <v>4.9235223036916604</v>
      </c>
    </row>
    <row r="43" spans="1:5" x14ac:dyDescent="0.45">
      <c r="A43" t="s">
        <v>107</v>
      </c>
      <c r="B43" t="s">
        <v>108</v>
      </c>
      <c r="C43" t="s">
        <v>23</v>
      </c>
      <c r="D43">
        <v>249.03287568365499</v>
      </c>
      <c r="E43">
        <v>4.2434347284587002</v>
      </c>
    </row>
    <row r="44" spans="1:5" x14ac:dyDescent="0.45">
      <c r="A44" t="s">
        <v>107</v>
      </c>
      <c r="B44" t="s">
        <v>109</v>
      </c>
      <c r="C44" t="s">
        <v>23</v>
      </c>
      <c r="D44">
        <v>7278.1026669675002</v>
      </c>
      <c r="E44">
        <v>4.8834485340451499</v>
      </c>
    </row>
    <row r="45" spans="1:5" x14ac:dyDescent="0.45">
      <c r="A45" t="s">
        <v>107</v>
      </c>
      <c r="B45" t="s">
        <v>110</v>
      </c>
      <c r="C45" t="s">
        <v>23</v>
      </c>
      <c r="D45">
        <v>3109.15399297565</v>
      </c>
      <c r="E45">
        <v>4.7106060437722199</v>
      </c>
    </row>
    <row r="46" spans="1:5" x14ac:dyDescent="0.45">
      <c r="A46" t="s">
        <v>107</v>
      </c>
      <c r="B46" t="s">
        <v>108</v>
      </c>
      <c r="C46" t="s">
        <v>24</v>
      </c>
      <c r="D46">
        <v>3.88977046833141</v>
      </c>
      <c r="E46">
        <v>2.93075028574619</v>
      </c>
    </row>
    <row r="47" spans="1:5" x14ac:dyDescent="0.45">
      <c r="A47" t="s">
        <v>107</v>
      </c>
      <c r="B47" t="s">
        <v>109</v>
      </c>
      <c r="C47" t="s">
        <v>24</v>
      </c>
      <c r="D47">
        <v>2690.5343283705602</v>
      </c>
      <c r="E47">
        <v>3.84477997568059</v>
      </c>
    </row>
    <row r="48" spans="1:5" x14ac:dyDescent="0.45">
      <c r="A48" t="s">
        <v>107</v>
      </c>
      <c r="B48" t="s">
        <v>110</v>
      </c>
      <c r="C48" t="s">
        <v>24</v>
      </c>
      <c r="D48">
        <v>1168.31047540032</v>
      </c>
      <c r="E48">
        <v>3.7518838220058499</v>
      </c>
    </row>
    <row r="50" spans="1:8" x14ac:dyDescent="0.45">
      <c r="A50" t="s">
        <v>111</v>
      </c>
    </row>
    <row r="52" spans="1:8" x14ac:dyDescent="0.45">
      <c r="A52" t="s">
        <v>1</v>
      </c>
      <c r="B52" t="s">
        <v>2</v>
      </c>
      <c r="C52" t="s">
        <v>4</v>
      </c>
      <c r="D52" t="s">
        <v>26</v>
      </c>
      <c r="E52" t="s">
        <v>27</v>
      </c>
      <c r="F52" t="s">
        <v>28</v>
      </c>
      <c r="G52" t="s">
        <v>29</v>
      </c>
      <c r="H52" t="s">
        <v>30</v>
      </c>
    </row>
    <row r="53" spans="1:8" x14ac:dyDescent="0.45">
      <c r="A53" t="s">
        <v>107</v>
      </c>
      <c r="B53" t="s">
        <v>110</v>
      </c>
      <c r="C53">
        <v>59489.651169354402</v>
      </c>
      <c r="D53">
        <v>2312</v>
      </c>
      <c r="E53">
        <v>3.8863902452852299</v>
      </c>
      <c r="F53">
        <v>3.7089348821648098</v>
      </c>
      <c r="G53">
        <v>3.7058474537255801</v>
      </c>
      <c r="H53">
        <v>3.7120223106040502</v>
      </c>
    </row>
    <row r="54" spans="1:8" x14ac:dyDescent="0.45">
      <c r="A54" t="s">
        <v>107</v>
      </c>
      <c r="B54" t="s">
        <v>109</v>
      </c>
      <c r="C54">
        <v>215105.58064300101</v>
      </c>
      <c r="D54">
        <v>8591</v>
      </c>
      <c r="E54">
        <v>3.99385268123658</v>
      </c>
      <c r="F54">
        <v>3.8122214968749502</v>
      </c>
      <c r="G54">
        <v>3.8107864842276098</v>
      </c>
      <c r="H54">
        <v>3.8136565095222998</v>
      </c>
    </row>
    <row r="55" spans="1:8" x14ac:dyDescent="0.45">
      <c r="A55" t="s">
        <v>107</v>
      </c>
      <c r="B55" t="s">
        <v>108</v>
      </c>
      <c r="C55">
        <v>42992.247854383699</v>
      </c>
      <c r="D55">
        <v>1947</v>
      </c>
      <c r="E55">
        <v>4.5287234261268603</v>
      </c>
      <c r="F55">
        <v>4.33224690052793</v>
      </c>
      <c r="G55">
        <v>4.3285345836316296</v>
      </c>
      <c r="H55">
        <v>4.3359592174242199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87"/>
  <sheetViews>
    <sheetView workbookViewId="0"/>
  </sheetViews>
  <sheetFormatPr baseColWidth="10" defaultRowHeight="14.25" x14ac:dyDescent="0.45"/>
  <sheetData>
    <row r="1" spans="1:5" x14ac:dyDescent="0.45">
      <c r="A1" t="s">
        <v>112</v>
      </c>
    </row>
    <row r="3" spans="1:5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45">
      <c r="A4" t="s">
        <v>113</v>
      </c>
      <c r="B4" t="s">
        <v>114</v>
      </c>
      <c r="C4" t="s">
        <v>8</v>
      </c>
      <c r="D4">
        <v>890.68192871052997</v>
      </c>
      <c r="E4">
        <v>4.2330760766184499</v>
      </c>
    </row>
    <row r="5" spans="1:5" x14ac:dyDescent="0.45">
      <c r="A5" t="s">
        <v>113</v>
      </c>
      <c r="B5" t="s">
        <v>115</v>
      </c>
      <c r="C5" t="s">
        <v>8</v>
      </c>
      <c r="D5">
        <v>599.29365812681897</v>
      </c>
      <c r="E5">
        <v>3.35294770309243</v>
      </c>
    </row>
    <row r="6" spans="1:5" x14ac:dyDescent="0.45">
      <c r="A6" t="s">
        <v>113</v>
      </c>
      <c r="B6" t="s">
        <v>116</v>
      </c>
      <c r="C6" t="s">
        <v>8</v>
      </c>
      <c r="D6">
        <v>999.86608003884101</v>
      </c>
      <c r="E6">
        <v>3.7466473508486402</v>
      </c>
    </row>
    <row r="7" spans="1:5" x14ac:dyDescent="0.45">
      <c r="A7" t="s">
        <v>113</v>
      </c>
      <c r="B7" t="s">
        <v>117</v>
      </c>
      <c r="C7" t="s">
        <v>8</v>
      </c>
      <c r="D7">
        <v>892.90821514008996</v>
      </c>
      <c r="E7">
        <v>3.18873706759855</v>
      </c>
    </row>
    <row r="8" spans="1:5" x14ac:dyDescent="0.45">
      <c r="A8" t="s">
        <v>113</v>
      </c>
      <c r="B8" t="s">
        <v>118</v>
      </c>
      <c r="C8" t="s">
        <v>8</v>
      </c>
      <c r="D8">
        <v>1746.19369001154</v>
      </c>
      <c r="E8">
        <v>2.8956685121743901</v>
      </c>
    </row>
    <row r="9" spans="1:5" x14ac:dyDescent="0.45">
      <c r="A9" t="s">
        <v>113</v>
      </c>
      <c r="B9" t="s">
        <v>114</v>
      </c>
      <c r="C9" t="s">
        <v>11</v>
      </c>
      <c r="D9">
        <v>1785.6394609875699</v>
      </c>
      <c r="E9">
        <v>4.0494826193176401</v>
      </c>
    </row>
    <row r="10" spans="1:5" x14ac:dyDescent="0.45">
      <c r="A10" t="s">
        <v>113</v>
      </c>
      <c r="B10" t="s">
        <v>115</v>
      </c>
      <c r="C10" t="s">
        <v>11</v>
      </c>
      <c r="D10">
        <v>1314.17377492829</v>
      </c>
      <c r="E10">
        <v>3.35787286125497</v>
      </c>
    </row>
    <row r="11" spans="1:5" x14ac:dyDescent="0.45">
      <c r="A11" t="s">
        <v>113</v>
      </c>
      <c r="B11" t="s">
        <v>116</v>
      </c>
      <c r="C11" t="s">
        <v>11</v>
      </c>
      <c r="D11">
        <v>2141.18618563263</v>
      </c>
      <c r="E11">
        <v>3.4286798884338099</v>
      </c>
    </row>
    <row r="12" spans="1:5" x14ac:dyDescent="0.45">
      <c r="A12" t="s">
        <v>113</v>
      </c>
      <c r="B12" t="s">
        <v>117</v>
      </c>
      <c r="C12" t="s">
        <v>11</v>
      </c>
      <c r="D12">
        <v>1892.10449520921</v>
      </c>
      <c r="E12">
        <v>3.2236168214504302</v>
      </c>
    </row>
    <row r="13" spans="1:5" x14ac:dyDescent="0.45">
      <c r="A13" t="s">
        <v>113</v>
      </c>
      <c r="B13" t="s">
        <v>118</v>
      </c>
      <c r="C13" t="s">
        <v>11</v>
      </c>
      <c r="D13">
        <v>3372.5781792981002</v>
      </c>
      <c r="E13">
        <v>2.9718178440024601</v>
      </c>
    </row>
    <row r="14" spans="1:5" x14ac:dyDescent="0.45">
      <c r="A14" t="s">
        <v>113</v>
      </c>
      <c r="B14" t="s">
        <v>114</v>
      </c>
      <c r="C14" t="s">
        <v>12</v>
      </c>
      <c r="D14">
        <v>2725.3371516206098</v>
      </c>
      <c r="E14">
        <v>4.0228070135123302</v>
      </c>
    </row>
    <row r="15" spans="1:5" x14ac:dyDescent="0.45">
      <c r="A15" t="s">
        <v>113</v>
      </c>
      <c r="B15" t="s">
        <v>115</v>
      </c>
      <c r="C15" t="s">
        <v>12</v>
      </c>
      <c r="D15">
        <v>1997.144801785</v>
      </c>
      <c r="E15">
        <v>3.1994745187982998</v>
      </c>
    </row>
    <row r="16" spans="1:5" x14ac:dyDescent="0.45">
      <c r="A16" t="s">
        <v>113</v>
      </c>
      <c r="B16" t="s">
        <v>116</v>
      </c>
      <c r="C16" t="s">
        <v>12</v>
      </c>
      <c r="D16">
        <v>3334.8504390406201</v>
      </c>
      <c r="E16">
        <v>3.5511859814874698</v>
      </c>
    </row>
    <row r="17" spans="1:5" x14ac:dyDescent="0.45">
      <c r="A17" t="s">
        <v>113</v>
      </c>
      <c r="B17" t="s">
        <v>117</v>
      </c>
      <c r="C17" t="s">
        <v>12</v>
      </c>
      <c r="D17">
        <v>2887.3031446649902</v>
      </c>
      <c r="E17">
        <v>3.15958836534459</v>
      </c>
    </row>
    <row r="18" spans="1:5" x14ac:dyDescent="0.45">
      <c r="A18" t="s">
        <v>113</v>
      </c>
      <c r="B18" t="s">
        <v>118</v>
      </c>
      <c r="C18" t="s">
        <v>12</v>
      </c>
      <c r="D18">
        <v>5143.8023617242197</v>
      </c>
      <c r="E18">
        <v>2.92957978218424</v>
      </c>
    </row>
    <row r="19" spans="1:5" x14ac:dyDescent="0.45">
      <c r="A19" t="s">
        <v>113</v>
      </c>
      <c r="B19" t="s">
        <v>114</v>
      </c>
      <c r="C19" t="s">
        <v>13</v>
      </c>
      <c r="D19">
        <v>3770.9654586128299</v>
      </c>
      <c r="E19">
        <v>4.0103718696086199</v>
      </c>
    </row>
    <row r="20" spans="1:5" x14ac:dyDescent="0.45">
      <c r="A20" t="s">
        <v>113</v>
      </c>
      <c r="B20" t="s">
        <v>115</v>
      </c>
      <c r="C20" t="s">
        <v>13</v>
      </c>
      <c r="D20">
        <v>2645.7609346345598</v>
      </c>
      <c r="E20">
        <v>3.2507811907525102</v>
      </c>
    </row>
    <row r="21" spans="1:5" x14ac:dyDescent="0.45">
      <c r="A21" t="s">
        <v>113</v>
      </c>
      <c r="B21" t="s">
        <v>116</v>
      </c>
      <c r="C21" t="s">
        <v>13</v>
      </c>
      <c r="D21">
        <v>4490.5891132607703</v>
      </c>
      <c r="E21">
        <v>3.4462676486221802</v>
      </c>
    </row>
    <row r="22" spans="1:5" x14ac:dyDescent="0.45">
      <c r="A22" t="s">
        <v>113</v>
      </c>
      <c r="B22" t="s">
        <v>117</v>
      </c>
      <c r="C22" t="s">
        <v>13</v>
      </c>
      <c r="D22">
        <v>3906.3922533905102</v>
      </c>
      <c r="E22">
        <v>3.1525942778234102</v>
      </c>
    </row>
    <row r="23" spans="1:5" x14ac:dyDescent="0.45">
      <c r="A23" t="s">
        <v>113</v>
      </c>
      <c r="B23" t="s">
        <v>118</v>
      </c>
      <c r="C23" t="s">
        <v>13</v>
      </c>
      <c r="D23">
        <v>6993.4775692515404</v>
      </c>
      <c r="E23">
        <v>2.9199270469479299</v>
      </c>
    </row>
    <row r="24" spans="1:5" x14ac:dyDescent="0.45">
      <c r="A24" t="s">
        <v>113</v>
      </c>
      <c r="B24" t="s">
        <v>114</v>
      </c>
      <c r="C24" t="s">
        <v>14</v>
      </c>
      <c r="D24">
        <v>4927.78818627686</v>
      </c>
      <c r="E24">
        <v>4.2387543413036797</v>
      </c>
    </row>
    <row r="25" spans="1:5" x14ac:dyDescent="0.45">
      <c r="A25" t="s">
        <v>113</v>
      </c>
      <c r="B25" t="s">
        <v>115</v>
      </c>
      <c r="C25" t="s">
        <v>14</v>
      </c>
      <c r="D25">
        <v>3375.51088991182</v>
      </c>
      <c r="E25">
        <v>3.4567903004709</v>
      </c>
    </row>
    <row r="26" spans="1:5" x14ac:dyDescent="0.45">
      <c r="A26" t="s">
        <v>113</v>
      </c>
      <c r="B26" t="s">
        <v>116</v>
      </c>
      <c r="C26" t="s">
        <v>14</v>
      </c>
      <c r="D26">
        <v>5505.7608028187196</v>
      </c>
      <c r="E26">
        <v>3.7088262175821098</v>
      </c>
    </row>
    <row r="27" spans="1:5" x14ac:dyDescent="0.45">
      <c r="A27" t="s">
        <v>113</v>
      </c>
      <c r="B27" t="s">
        <v>117</v>
      </c>
      <c r="C27" t="s">
        <v>14</v>
      </c>
      <c r="D27">
        <v>4790.6072112728098</v>
      </c>
      <c r="E27">
        <v>3.2853711681499198</v>
      </c>
    </row>
    <row r="28" spans="1:5" x14ac:dyDescent="0.45">
      <c r="A28" t="s">
        <v>113</v>
      </c>
      <c r="B28" t="s">
        <v>118</v>
      </c>
      <c r="C28" t="s">
        <v>14</v>
      </c>
      <c r="D28">
        <v>8691.3060766387807</v>
      </c>
      <c r="E28">
        <v>3.0530248691902102</v>
      </c>
    </row>
    <row r="29" spans="1:5" x14ac:dyDescent="0.45">
      <c r="A29" t="s">
        <v>113</v>
      </c>
      <c r="B29" t="s">
        <v>114</v>
      </c>
      <c r="C29" t="s">
        <v>15</v>
      </c>
      <c r="D29">
        <v>5537.7494418552096</v>
      </c>
      <c r="E29">
        <v>4.3888794406559697</v>
      </c>
    </row>
    <row r="30" spans="1:5" x14ac:dyDescent="0.45">
      <c r="A30" t="s">
        <v>113</v>
      </c>
      <c r="B30" t="s">
        <v>115</v>
      </c>
      <c r="C30" t="s">
        <v>15</v>
      </c>
      <c r="D30">
        <v>3390.8253264545901</v>
      </c>
      <c r="E30">
        <v>3.4037083888999402</v>
      </c>
    </row>
    <row r="31" spans="1:5" x14ac:dyDescent="0.45">
      <c r="A31" t="s">
        <v>113</v>
      </c>
      <c r="B31" t="s">
        <v>116</v>
      </c>
      <c r="C31" t="s">
        <v>15</v>
      </c>
      <c r="D31">
        <v>5884.89626018531</v>
      </c>
      <c r="E31">
        <v>3.7446859035284699</v>
      </c>
    </row>
    <row r="32" spans="1:5" x14ac:dyDescent="0.45">
      <c r="A32" t="s">
        <v>113</v>
      </c>
      <c r="B32" t="s">
        <v>117</v>
      </c>
      <c r="C32" t="s">
        <v>15</v>
      </c>
      <c r="D32">
        <v>4874.8747849855799</v>
      </c>
      <c r="E32">
        <v>3.2580064414211898</v>
      </c>
    </row>
    <row r="33" spans="1:5" x14ac:dyDescent="0.45">
      <c r="A33" t="s">
        <v>113</v>
      </c>
      <c r="B33" t="s">
        <v>118</v>
      </c>
      <c r="C33" t="s">
        <v>15</v>
      </c>
      <c r="D33">
        <v>8593.1803751188108</v>
      </c>
      <c r="E33">
        <v>3.0202763806154498</v>
      </c>
    </row>
    <row r="34" spans="1:5" x14ac:dyDescent="0.45">
      <c r="A34" t="s">
        <v>113</v>
      </c>
      <c r="B34" t="s">
        <v>114</v>
      </c>
      <c r="C34" t="s">
        <v>16</v>
      </c>
      <c r="D34">
        <v>6066.2199844531497</v>
      </c>
      <c r="E34">
        <v>4.4191173319627604</v>
      </c>
    </row>
    <row r="35" spans="1:5" x14ac:dyDescent="0.45">
      <c r="A35" t="s">
        <v>113</v>
      </c>
      <c r="B35" t="s">
        <v>115</v>
      </c>
      <c r="C35" t="s">
        <v>16</v>
      </c>
      <c r="D35">
        <v>3510.7794860638101</v>
      </c>
      <c r="E35">
        <v>3.4274913719610298</v>
      </c>
    </row>
    <row r="36" spans="1:5" x14ac:dyDescent="0.45">
      <c r="A36" t="s">
        <v>113</v>
      </c>
      <c r="B36" t="s">
        <v>116</v>
      </c>
      <c r="C36" t="s">
        <v>16</v>
      </c>
      <c r="D36">
        <v>6125.8202638051498</v>
      </c>
      <c r="E36">
        <v>3.7468941940357401</v>
      </c>
    </row>
    <row r="37" spans="1:5" x14ac:dyDescent="0.45">
      <c r="A37" t="s">
        <v>113</v>
      </c>
      <c r="B37" t="s">
        <v>117</v>
      </c>
      <c r="C37" t="s">
        <v>16</v>
      </c>
      <c r="D37">
        <v>4967.8293679220396</v>
      </c>
      <c r="E37">
        <v>3.2955811445868899</v>
      </c>
    </row>
    <row r="38" spans="1:5" x14ac:dyDescent="0.45">
      <c r="A38" t="s">
        <v>113</v>
      </c>
      <c r="B38" t="s">
        <v>118</v>
      </c>
      <c r="C38" t="s">
        <v>16</v>
      </c>
      <c r="D38">
        <v>8921.5849683087999</v>
      </c>
      <c r="E38">
        <v>3.0572579097817898</v>
      </c>
    </row>
    <row r="39" spans="1:5" x14ac:dyDescent="0.45">
      <c r="A39" t="s">
        <v>113</v>
      </c>
      <c r="B39" t="s">
        <v>114</v>
      </c>
      <c r="C39" t="s">
        <v>17</v>
      </c>
      <c r="D39">
        <v>6836.7486445580298</v>
      </c>
      <c r="E39">
        <v>4.4389927734148404</v>
      </c>
    </row>
    <row r="40" spans="1:5" x14ac:dyDescent="0.45">
      <c r="A40" t="s">
        <v>113</v>
      </c>
      <c r="B40" t="s">
        <v>115</v>
      </c>
      <c r="C40" t="s">
        <v>17</v>
      </c>
      <c r="D40">
        <v>3794.1485144471899</v>
      </c>
      <c r="E40">
        <v>3.4353072443600099</v>
      </c>
    </row>
    <row r="41" spans="1:5" x14ac:dyDescent="0.45">
      <c r="A41" t="s">
        <v>113</v>
      </c>
      <c r="B41" t="s">
        <v>116</v>
      </c>
      <c r="C41" t="s">
        <v>17</v>
      </c>
      <c r="D41">
        <v>6507.1489271820601</v>
      </c>
      <c r="E41">
        <v>3.7789893202352598</v>
      </c>
    </row>
    <row r="42" spans="1:5" x14ac:dyDescent="0.45">
      <c r="A42" t="s">
        <v>113</v>
      </c>
      <c r="B42" t="s">
        <v>117</v>
      </c>
      <c r="C42" t="s">
        <v>17</v>
      </c>
      <c r="D42">
        <v>5282.3019595758396</v>
      </c>
      <c r="E42">
        <v>3.27175611939365</v>
      </c>
    </row>
    <row r="43" spans="1:5" x14ac:dyDescent="0.45">
      <c r="A43" t="s">
        <v>113</v>
      </c>
      <c r="B43" t="s">
        <v>118</v>
      </c>
      <c r="C43" t="s">
        <v>17</v>
      </c>
      <c r="D43">
        <v>9234.31896894085</v>
      </c>
      <c r="E43">
        <v>3.0287514215879798</v>
      </c>
    </row>
    <row r="44" spans="1:5" x14ac:dyDescent="0.45">
      <c r="A44" t="s">
        <v>113</v>
      </c>
      <c r="B44" t="s">
        <v>114</v>
      </c>
      <c r="C44" t="s">
        <v>18</v>
      </c>
      <c r="D44">
        <v>7676.2641421680701</v>
      </c>
      <c r="E44">
        <v>5.27225816492557</v>
      </c>
    </row>
    <row r="45" spans="1:5" x14ac:dyDescent="0.45">
      <c r="A45" t="s">
        <v>113</v>
      </c>
      <c r="B45" t="s">
        <v>115</v>
      </c>
      <c r="C45" t="s">
        <v>18</v>
      </c>
      <c r="D45">
        <v>3780.78349171646</v>
      </c>
      <c r="E45">
        <v>4.0126766192579</v>
      </c>
    </row>
    <row r="46" spans="1:5" x14ac:dyDescent="0.45">
      <c r="A46" t="s">
        <v>113</v>
      </c>
      <c r="B46" t="s">
        <v>116</v>
      </c>
      <c r="C46" t="s">
        <v>18</v>
      </c>
      <c r="D46">
        <v>6619.0261798756201</v>
      </c>
      <c r="E46">
        <v>4.3658560372370401</v>
      </c>
    </row>
    <row r="47" spans="1:5" x14ac:dyDescent="0.45">
      <c r="A47" t="s">
        <v>113</v>
      </c>
      <c r="B47" t="s">
        <v>117</v>
      </c>
      <c r="C47" t="s">
        <v>18</v>
      </c>
      <c r="D47">
        <v>5005.2181914568</v>
      </c>
      <c r="E47">
        <v>3.7061502506053698</v>
      </c>
    </row>
    <row r="48" spans="1:5" x14ac:dyDescent="0.45">
      <c r="A48" t="s">
        <v>113</v>
      </c>
      <c r="B48" t="s">
        <v>118</v>
      </c>
      <c r="C48" t="s">
        <v>18</v>
      </c>
      <c r="D48">
        <v>8697.9304281336008</v>
      </c>
      <c r="E48">
        <v>3.4378010327125899</v>
      </c>
    </row>
    <row r="49" spans="1:5" x14ac:dyDescent="0.45">
      <c r="A49" t="s">
        <v>113</v>
      </c>
      <c r="B49" t="s">
        <v>114</v>
      </c>
      <c r="C49" t="s">
        <v>19</v>
      </c>
      <c r="D49">
        <v>7765.1728890875402</v>
      </c>
      <c r="E49">
        <v>5.50120386809526</v>
      </c>
    </row>
    <row r="50" spans="1:5" x14ac:dyDescent="0.45">
      <c r="A50" t="s">
        <v>113</v>
      </c>
      <c r="B50" t="s">
        <v>115</v>
      </c>
      <c r="C50" t="s">
        <v>19</v>
      </c>
      <c r="D50">
        <v>3642.4290564522198</v>
      </c>
      <c r="E50">
        <v>3.9908048582094802</v>
      </c>
    </row>
    <row r="51" spans="1:5" x14ac:dyDescent="0.45">
      <c r="A51" t="s">
        <v>113</v>
      </c>
      <c r="B51" t="s">
        <v>116</v>
      </c>
      <c r="C51" t="s">
        <v>19</v>
      </c>
      <c r="D51">
        <v>6391.6298992365901</v>
      </c>
      <c r="E51">
        <v>4.3963147461209697</v>
      </c>
    </row>
    <row r="52" spans="1:5" x14ac:dyDescent="0.45">
      <c r="A52" t="s">
        <v>113</v>
      </c>
      <c r="B52" t="s">
        <v>117</v>
      </c>
      <c r="C52" t="s">
        <v>19</v>
      </c>
      <c r="D52">
        <v>4812.9821482461402</v>
      </c>
      <c r="E52">
        <v>3.7234948834956101</v>
      </c>
    </row>
    <row r="53" spans="1:5" x14ac:dyDescent="0.45">
      <c r="A53" t="s">
        <v>113</v>
      </c>
      <c r="B53" t="s">
        <v>118</v>
      </c>
      <c r="C53" t="s">
        <v>19</v>
      </c>
      <c r="D53">
        <v>8594.8902791689798</v>
      </c>
      <c r="E53">
        <v>3.45219650124809</v>
      </c>
    </row>
    <row r="54" spans="1:5" x14ac:dyDescent="0.45">
      <c r="A54" t="s">
        <v>113</v>
      </c>
      <c r="B54" t="s">
        <v>114</v>
      </c>
      <c r="C54" t="s">
        <v>20</v>
      </c>
      <c r="D54">
        <v>7463.2564978468599</v>
      </c>
      <c r="E54">
        <v>5.2754245385738097</v>
      </c>
    </row>
    <row r="55" spans="1:5" x14ac:dyDescent="0.45">
      <c r="A55" t="s">
        <v>113</v>
      </c>
      <c r="B55" t="s">
        <v>115</v>
      </c>
      <c r="C55" t="s">
        <v>20</v>
      </c>
      <c r="D55">
        <v>3397.7426114274799</v>
      </c>
      <c r="E55">
        <v>3.9591524711889998</v>
      </c>
    </row>
    <row r="56" spans="1:5" x14ac:dyDescent="0.45">
      <c r="A56" t="s">
        <v>113</v>
      </c>
      <c r="B56" t="s">
        <v>116</v>
      </c>
      <c r="C56" t="s">
        <v>20</v>
      </c>
      <c r="D56">
        <v>6142.0621591153504</v>
      </c>
      <c r="E56">
        <v>4.3287813660093901</v>
      </c>
    </row>
    <row r="57" spans="1:5" x14ac:dyDescent="0.45">
      <c r="A57" t="s">
        <v>113</v>
      </c>
      <c r="B57" t="s">
        <v>117</v>
      </c>
      <c r="C57" t="s">
        <v>20</v>
      </c>
      <c r="D57">
        <v>4464.0739071929102</v>
      </c>
      <c r="E57">
        <v>3.58089453290988</v>
      </c>
    </row>
    <row r="58" spans="1:5" x14ac:dyDescent="0.45">
      <c r="A58" t="s">
        <v>113</v>
      </c>
      <c r="B58" t="s">
        <v>118</v>
      </c>
      <c r="C58" t="s">
        <v>20</v>
      </c>
      <c r="D58">
        <v>7803.5437209683496</v>
      </c>
      <c r="E58">
        <v>3.27495938466393</v>
      </c>
    </row>
    <row r="59" spans="1:5" x14ac:dyDescent="0.45">
      <c r="A59" t="s">
        <v>113</v>
      </c>
      <c r="B59" t="s">
        <v>114</v>
      </c>
      <c r="C59" t="s">
        <v>21</v>
      </c>
      <c r="D59">
        <v>6127.0112674511902</v>
      </c>
      <c r="E59">
        <v>5.3135362466893303</v>
      </c>
    </row>
    <row r="60" spans="1:5" x14ac:dyDescent="0.45">
      <c r="A60" t="s">
        <v>113</v>
      </c>
      <c r="B60" t="s">
        <v>115</v>
      </c>
      <c r="C60" t="s">
        <v>21</v>
      </c>
      <c r="D60">
        <v>2792.3531928335401</v>
      </c>
      <c r="E60">
        <v>3.7324465164046599</v>
      </c>
    </row>
    <row r="61" spans="1:5" x14ac:dyDescent="0.45">
      <c r="A61" t="s">
        <v>113</v>
      </c>
      <c r="B61" t="s">
        <v>116</v>
      </c>
      <c r="C61" t="s">
        <v>21</v>
      </c>
      <c r="D61">
        <v>4794.4283207963299</v>
      </c>
      <c r="E61">
        <v>4.23592999072702</v>
      </c>
    </row>
    <row r="62" spans="1:5" x14ac:dyDescent="0.45">
      <c r="A62" t="s">
        <v>113</v>
      </c>
      <c r="B62" t="s">
        <v>117</v>
      </c>
      <c r="C62" t="s">
        <v>21</v>
      </c>
      <c r="D62">
        <v>3656.9474625267098</v>
      </c>
      <c r="E62">
        <v>3.51327487586404</v>
      </c>
    </row>
    <row r="63" spans="1:5" x14ac:dyDescent="0.45">
      <c r="A63" t="s">
        <v>113</v>
      </c>
      <c r="B63" t="s">
        <v>118</v>
      </c>
      <c r="C63" t="s">
        <v>21</v>
      </c>
      <c r="D63">
        <v>6131.5515248348402</v>
      </c>
      <c r="E63">
        <v>3.2521812186177899</v>
      </c>
    </row>
    <row r="64" spans="1:5" x14ac:dyDescent="0.45">
      <c r="A64" t="s">
        <v>113</v>
      </c>
      <c r="B64" t="s">
        <v>114</v>
      </c>
      <c r="C64" t="s">
        <v>22</v>
      </c>
      <c r="D64">
        <v>4579.0293803146897</v>
      </c>
      <c r="E64">
        <v>6.8715419864894196</v>
      </c>
    </row>
    <row r="65" spans="1:5" x14ac:dyDescent="0.45">
      <c r="A65" t="s">
        <v>113</v>
      </c>
      <c r="B65" t="s">
        <v>115</v>
      </c>
      <c r="C65" t="s">
        <v>22</v>
      </c>
      <c r="D65">
        <v>1929.0023817183901</v>
      </c>
      <c r="E65">
        <v>4.6588994422991004</v>
      </c>
    </row>
    <row r="66" spans="1:5" x14ac:dyDescent="0.45">
      <c r="A66" t="s">
        <v>113</v>
      </c>
      <c r="B66" t="s">
        <v>116</v>
      </c>
      <c r="C66" t="s">
        <v>22</v>
      </c>
      <c r="D66">
        <v>3426.44244635622</v>
      </c>
      <c r="E66">
        <v>5.3086634421169103</v>
      </c>
    </row>
    <row r="67" spans="1:5" x14ac:dyDescent="0.45">
      <c r="A67" t="s">
        <v>113</v>
      </c>
      <c r="B67" t="s">
        <v>117</v>
      </c>
      <c r="C67" t="s">
        <v>22</v>
      </c>
      <c r="D67">
        <v>2530.7351257078799</v>
      </c>
      <c r="E67">
        <v>4.1763201064610103</v>
      </c>
    </row>
    <row r="68" spans="1:5" x14ac:dyDescent="0.45">
      <c r="A68" t="s">
        <v>113</v>
      </c>
      <c r="B68" t="s">
        <v>118</v>
      </c>
      <c r="C68" t="s">
        <v>22</v>
      </c>
      <c r="D68">
        <v>4514.2995153953498</v>
      </c>
      <c r="E68">
        <v>3.8257638845748501</v>
      </c>
    </row>
    <row r="69" spans="1:5" x14ac:dyDescent="0.45">
      <c r="A69" t="s">
        <v>113</v>
      </c>
      <c r="B69" t="s">
        <v>114</v>
      </c>
      <c r="C69" t="s">
        <v>23</v>
      </c>
      <c r="D69">
        <v>2892.0001657954899</v>
      </c>
      <c r="E69">
        <v>6.6186217618744498</v>
      </c>
    </row>
    <row r="70" spans="1:5" x14ac:dyDescent="0.45">
      <c r="A70" t="s">
        <v>113</v>
      </c>
      <c r="B70" t="s">
        <v>115</v>
      </c>
      <c r="C70" t="s">
        <v>23</v>
      </c>
      <c r="D70">
        <v>1214.4693319830301</v>
      </c>
      <c r="E70">
        <v>4.3351932561917002</v>
      </c>
    </row>
    <row r="71" spans="1:5" x14ac:dyDescent="0.45">
      <c r="A71" t="s">
        <v>113</v>
      </c>
      <c r="B71" t="s">
        <v>116</v>
      </c>
      <c r="C71" t="s">
        <v>23</v>
      </c>
      <c r="D71">
        <v>2176.9971447149301</v>
      </c>
      <c r="E71">
        <v>4.9702403729820901</v>
      </c>
    </row>
    <row r="72" spans="1:5" x14ac:dyDescent="0.45">
      <c r="A72" t="s">
        <v>113</v>
      </c>
      <c r="B72" t="s">
        <v>117</v>
      </c>
      <c r="C72" t="s">
        <v>23</v>
      </c>
      <c r="D72">
        <v>1573.17483122928</v>
      </c>
      <c r="E72">
        <v>3.9080677203492802</v>
      </c>
    </row>
    <row r="73" spans="1:5" x14ac:dyDescent="0.45">
      <c r="A73" t="s">
        <v>113</v>
      </c>
      <c r="B73" t="s">
        <v>118</v>
      </c>
      <c r="C73" t="s">
        <v>23</v>
      </c>
      <c r="D73">
        <v>2779.6480619040799</v>
      </c>
      <c r="E73">
        <v>3.5510635000819701</v>
      </c>
    </row>
    <row r="74" spans="1:5" x14ac:dyDescent="0.45">
      <c r="A74" t="s">
        <v>113</v>
      </c>
      <c r="B74" t="s">
        <v>114</v>
      </c>
      <c r="C74" t="s">
        <v>24</v>
      </c>
      <c r="D74">
        <v>1065.7762484524301</v>
      </c>
      <c r="E74">
        <v>5.1343093141246099</v>
      </c>
    </row>
    <row r="75" spans="1:5" x14ac:dyDescent="0.45">
      <c r="A75" t="s">
        <v>113</v>
      </c>
      <c r="B75" t="s">
        <v>115</v>
      </c>
      <c r="C75" t="s">
        <v>24</v>
      </c>
      <c r="D75">
        <v>437.008036845878</v>
      </c>
      <c r="E75">
        <v>3.6288587394689502</v>
      </c>
    </row>
    <row r="76" spans="1:5" x14ac:dyDescent="0.45">
      <c r="A76" t="s">
        <v>113</v>
      </c>
      <c r="B76" t="s">
        <v>116</v>
      </c>
      <c r="C76" t="s">
        <v>24</v>
      </c>
      <c r="D76">
        <v>814.39500808167304</v>
      </c>
      <c r="E76">
        <v>3.9929013043406898</v>
      </c>
    </row>
    <row r="77" spans="1:5" x14ac:dyDescent="0.45">
      <c r="A77" t="s">
        <v>113</v>
      </c>
      <c r="B77" t="s">
        <v>117</v>
      </c>
      <c r="C77" t="s">
        <v>24</v>
      </c>
      <c r="D77">
        <v>582.97535323243403</v>
      </c>
      <c r="E77">
        <v>3.0707593809855198</v>
      </c>
    </row>
    <row r="78" spans="1:5" x14ac:dyDescent="0.45">
      <c r="A78" t="s">
        <v>113</v>
      </c>
      <c r="B78" t="s">
        <v>118</v>
      </c>
      <c r="C78" t="s">
        <v>24</v>
      </c>
      <c r="D78">
        <v>962.57992762679498</v>
      </c>
      <c r="E78">
        <v>2.7420438279713601</v>
      </c>
    </row>
    <row r="80" spans="1:5" x14ac:dyDescent="0.45">
      <c r="A80" t="s">
        <v>119</v>
      </c>
    </row>
    <row r="82" spans="1:8" x14ac:dyDescent="0.45">
      <c r="A82" t="s">
        <v>1</v>
      </c>
      <c r="B82" t="s">
        <v>2</v>
      </c>
      <c r="C82" t="s">
        <v>4</v>
      </c>
      <c r="D82" t="s">
        <v>26</v>
      </c>
      <c r="E82" t="s">
        <v>27</v>
      </c>
      <c r="F82" t="s">
        <v>28</v>
      </c>
      <c r="G82" t="s">
        <v>29</v>
      </c>
      <c r="H82" t="s">
        <v>30</v>
      </c>
    </row>
    <row r="83" spans="1:8" x14ac:dyDescent="0.45">
      <c r="A83" t="s">
        <v>113</v>
      </c>
      <c r="B83" t="s">
        <v>114</v>
      </c>
      <c r="C83">
        <v>70109.640848191106</v>
      </c>
      <c r="D83">
        <v>3705</v>
      </c>
      <c r="E83">
        <v>5.2845799167941303</v>
      </c>
      <c r="F83">
        <v>5.0011751647537404</v>
      </c>
      <c r="G83">
        <v>4.9976665162063396</v>
      </c>
      <c r="H83">
        <v>5.00468381330115</v>
      </c>
    </row>
    <row r="84" spans="1:8" x14ac:dyDescent="0.45">
      <c r="A84" t="s">
        <v>113</v>
      </c>
      <c r="B84" t="s">
        <v>115</v>
      </c>
      <c r="C84">
        <v>37821.4254893291</v>
      </c>
      <c r="D84">
        <v>1453</v>
      </c>
      <c r="E84">
        <v>3.8417378012627998</v>
      </c>
      <c r="F84">
        <v>3.6780602484104499</v>
      </c>
      <c r="G84">
        <v>3.6746889959521201</v>
      </c>
      <c r="H84">
        <v>3.6814315008687801</v>
      </c>
    </row>
    <row r="85" spans="1:8" x14ac:dyDescent="0.45">
      <c r="A85" t="s">
        <v>113</v>
      </c>
      <c r="B85" t="s">
        <v>116</v>
      </c>
      <c r="C85">
        <v>65355.099230140797</v>
      </c>
      <c r="D85">
        <v>2770</v>
      </c>
      <c r="E85">
        <v>4.2383838944926797</v>
      </c>
      <c r="F85">
        <v>4.0480689107572401</v>
      </c>
      <c r="G85">
        <v>4.0452536133365502</v>
      </c>
      <c r="H85">
        <v>4.0508842081779299</v>
      </c>
    </row>
    <row r="86" spans="1:8" x14ac:dyDescent="0.45">
      <c r="A86" t="s">
        <v>113</v>
      </c>
      <c r="B86" t="s">
        <v>117</v>
      </c>
      <c r="C86">
        <v>52120.4284517532</v>
      </c>
      <c r="D86">
        <v>1870</v>
      </c>
      <c r="E86">
        <v>3.5878446427795998</v>
      </c>
      <c r="F86">
        <v>3.4434112340831899</v>
      </c>
      <c r="G86">
        <v>3.4407698560052302</v>
      </c>
      <c r="H86">
        <v>3.4460526121611599</v>
      </c>
    </row>
    <row r="87" spans="1:8" x14ac:dyDescent="0.45">
      <c r="A87" t="s">
        <v>113</v>
      </c>
      <c r="B87" t="s">
        <v>118</v>
      </c>
      <c r="C87">
        <v>92180.885647324598</v>
      </c>
      <c r="D87">
        <v>3052</v>
      </c>
      <c r="E87">
        <v>3.31088161994523</v>
      </c>
      <c r="F87">
        <v>3.1801853602386299</v>
      </c>
      <c r="G87">
        <v>3.1784730420191001</v>
      </c>
      <c r="H87">
        <v>3.1818976784581601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5"/>
  <sheetViews>
    <sheetView workbookViewId="0"/>
  </sheetViews>
  <sheetFormatPr baseColWidth="10" defaultRowHeight="14.25" x14ac:dyDescent="0.45"/>
  <sheetData>
    <row r="1" spans="1:5" x14ac:dyDescent="0.45">
      <c r="A1" t="s">
        <v>120</v>
      </c>
    </row>
    <row r="3" spans="1:5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45">
      <c r="A4" t="s">
        <v>121</v>
      </c>
      <c r="B4" t="s">
        <v>122</v>
      </c>
      <c r="C4" t="s">
        <v>8</v>
      </c>
      <c r="D4">
        <v>128.73729196226699</v>
      </c>
      <c r="E4">
        <v>4.4629869801582798</v>
      </c>
    </row>
    <row r="5" spans="1:5" x14ac:dyDescent="0.45">
      <c r="A5" t="s">
        <v>121</v>
      </c>
      <c r="B5" t="s">
        <v>123</v>
      </c>
      <c r="C5" t="s">
        <v>8</v>
      </c>
      <c r="D5">
        <v>4702.97854822105</v>
      </c>
      <c r="E5">
        <v>3.36090501724679</v>
      </c>
    </row>
    <row r="6" spans="1:5" x14ac:dyDescent="0.45">
      <c r="A6" t="s">
        <v>121</v>
      </c>
      <c r="B6" t="s">
        <v>124</v>
      </c>
      <c r="C6" t="s">
        <v>8</v>
      </c>
      <c r="D6">
        <v>297.22773184450301</v>
      </c>
      <c r="E6">
        <v>3.5282737702972802</v>
      </c>
    </row>
    <row r="7" spans="1:5" x14ac:dyDescent="0.45">
      <c r="A7" t="s">
        <v>121</v>
      </c>
      <c r="B7" t="s">
        <v>122</v>
      </c>
      <c r="C7" t="s">
        <v>11</v>
      </c>
      <c r="D7">
        <v>315.121474913687</v>
      </c>
      <c r="E7">
        <v>4.1018003641943501</v>
      </c>
    </row>
    <row r="8" spans="1:5" x14ac:dyDescent="0.45">
      <c r="A8" t="s">
        <v>121</v>
      </c>
      <c r="B8" t="s">
        <v>123</v>
      </c>
      <c r="C8" t="s">
        <v>11</v>
      </c>
      <c r="D8">
        <v>9700.6915219031907</v>
      </c>
      <c r="E8">
        <v>3.2988454610868501</v>
      </c>
    </row>
    <row r="9" spans="1:5" x14ac:dyDescent="0.45">
      <c r="A9" t="s">
        <v>121</v>
      </c>
      <c r="B9" t="s">
        <v>124</v>
      </c>
      <c r="C9" t="s">
        <v>11</v>
      </c>
      <c r="D9">
        <v>489.86909923892</v>
      </c>
      <c r="E9">
        <v>3.7023089342838298</v>
      </c>
    </row>
    <row r="10" spans="1:5" x14ac:dyDescent="0.45">
      <c r="A10" t="s">
        <v>121</v>
      </c>
      <c r="B10" t="s">
        <v>122</v>
      </c>
      <c r="C10" t="s">
        <v>12</v>
      </c>
      <c r="D10">
        <v>463.243925135371</v>
      </c>
      <c r="E10">
        <v>4.1928340287613599</v>
      </c>
    </row>
    <row r="11" spans="1:5" x14ac:dyDescent="0.45">
      <c r="A11" t="s">
        <v>121</v>
      </c>
      <c r="B11" t="s">
        <v>123</v>
      </c>
      <c r="C11" t="s">
        <v>12</v>
      </c>
      <c r="D11">
        <v>14812.9247025401</v>
      </c>
      <c r="E11">
        <v>3.2759208367917898</v>
      </c>
    </row>
    <row r="12" spans="1:5" x14ac:dyDescent="0.45">
      <c r="A12" t="s">
        <v>121</v>
      </c>
      <c r="B12" t="s">
        <v>124</v>
      </c>
      <c r="C12" t="s">
        <v>12</v>
      </c>
      <c r="D12">
        <v>812.26927115994295</v>
      </c>
      <c r="E12">
        <v>3.5943606268120001</v>
      </c>
    </row>
    <row r="13" spans="1:5" x14ac:dyDescent="0.45">
      <c r="A13" t="s">
        <v>121</v>
      </c>
      <c r="B13" t="s">
        <v>122</v>
      </c>
      <c r="C13" t="s">
        <v>13</v>
      </c>
      <c r="D13">
        <v>673.92241571624504</v>
      </c>
      <c r="E13">
        <v>4.2866011752500501</v>
      </c>
    </row>
    <row r="14" spans="1:5" x14ac:dyDescent="0.45">
      <c r="A14" t="s">
        <v>121</v>
      </c>
      <c r="B14" t="s">
        <v>123</v>
      </c>
      <c r="C14" t="s">
        <v>13</v>
      </c>
      <c r="D14">
        <v>20062.942798191099</v>
      </c>
      <c r="E14">
        <v>3.24732673951786</v>
      </c>
    </row>
    <row r="15" spans="1:5" x14ac:dyDescent="0.45">
      <c r="A15" t="s">
        <v>121</v>
      </c>
      <c r="B15" t="s">
        <v>124</v>
      </c>
      <c r="C15" t="s">
        <v>13</v>
      </c>
      <c r="D15">
        <v>1070.3201152428601</v>
      </c>
      <c r="E15">
        <v>3.63954908187451</v>
      </c>
    </row>
    <row r="16" spans="1:5" x14ac:dyDescent="0.45">
      <c r="A16" t="s">
        <v>121</v>
      </c>
      <c r="B16" t="s">
        <v>122</v>
      </c>
      <c r="C16" t="s">
        <v>14</v>
      </c>
      <c r="D16">
        <v>875.30837500668599</v>
      </c>
      <c r="E16">
        <v>4.5692159138439301</v>
      </c>
    </row>
    <row r="17" spans="1:5" x14ac:dyDescent="0.45">
      <c r="A17" t="s">
        <v>121</v>
      </c>
      <c r="B17" t="s">
        <v>123</v>
      </c>
      <c r="C17" t="s">
        <v>14</v>
      </c>
      <c r="D17">
        <v>25128.9948641216</v>
      </c>
      <c r="E17">
        <v>3.43593038606571</v>
      </c>
    </row>
    <row r="18" spans="1:5" x14ac:dyDescent="0.45">
      <c r="A18" t="s">
        <v>121</v>
      </c>
      <c r="B18" t="s">
        <v>124</v>
      </c>
      <c r="C18" t="s">
        <v>14</v>
      </c>
      <c r="D18">
        <v>1286.6699277907301</v>
      </c>
      <c r="E18">
        <v>3.81509912078914</v>
      </c>
    </row>
    <row r="19" spans="1:5" x14ac:dyDescent="0.45">
      <c r="A19" t="s">
        <v>121</v>
      </c>
      <c r="B19" t="s">
        <v>122</v>
      </c>
      <c r="C19" t="s">
        <v>15</v>
      </c>
      <c r="D19">
        <v>839.81785795439498</v>
      </c>
      <c r="E19">
        <v>4.5527729703367603</v>
      </c>
    </row>
    <row r="20" spans="1:5" x14ac:dyDescent="0.45">
      <c r="A20" t="s">
        <v>121</v>
      </c>
      <c r="B20" t="s">
        <v>123</v>
      </c>
      <c r="C20" t="s">
        <v>15</v>
      </c>
      <c r="D20">
        <v>25981.0644524954</v>
      </c>
      <c r="E20">
        <v>3.4811259010548898</v>
      </c>
    </row>
    <row r="21" spans="1:5" x14ac:dyDescent="0.45">
      <c r="A21" t="s">
        <v>121</v>
      </c>
      <c r="B21" t="s">
        <v>124</v>
      </c>
      <c r="C21" t="s">
        <v>15</v>
      </c>
      <c r="D21">
        <v>1460.6438781496699</v>
      </c>
      <c r="E21">
        <v>3.7327922009610801</v>
      </c>
    </row>
    <row r="22" spans="1:5" x14ac:dyDescent="0.45">
      <c r="A22" t="s">
        <v>121</v>
      </c>
      <c r="B22" t="s">
        <v>122</v>
      </c>
      <c r="C22" t="s">
        <v>16</v>
      </c>
      <c r="D22">
        <v>885.18103161041904</v>
      </c>
      <c r="E22">
        <v>4.55211206068393</v>
      </c>
    </row>
    <row r="23" spans="1:5" x14ac:dyDescent="0.45">
      <c r="A23" t="s">
        <v>121</v>
      </c>
      <c r="B23" t="s">
        <v>123</v>
      </c>
      <c r="C23" t="s">
        <v>16</v>
      </c>
      <c r="D23">
        <v>27217.102566919799</v>
      </c>
      <c r="E23">
        <v>3.5149175981255998</v>
      </c>
    </row>
    <row r="24" spans="1:5" x14ac:dyDescent="0.45">
      <c r="A24" t="s">
        <v>121</v>
      </c>
      <c r="B24" t="s">
        <v>124</v>
      </c>
      <c r="C24" t="s">
        <v>16</v>
      </c>
      <c r="D24">
        <v>1489.9504720227601</v>
      </c>
      <c r="E24">
        <v>3.85614134995931</v>
      </c>
    </row>
    <row r="25" spans="1:5" x14ac:dyDescent="0.45">
      <c r="A25" t="s">
        <v>121</v>
      </c>
      <c r="B25" t="s">
        <v>122</v>
      </c>
      <c r="C25" t="s">
        <v>17</v>
      </c>
      <c r="D25">
        <v>958.64043385313096</v>
      </c>
      <c r="E25">
        <v>4.5184374479067397</v>
      </c>
    </row>
    <row r="26" spans="1:5" x14ac:dyDescent="0.45">
      <c r="A26" t="s">
        <v>121</v>
      </c>
      <c r="B26" t="s">
        <v>123</v>
      </c>
      <c r="C26" t="s">
        <v>17</v>
      </c>
      <c r="D26">
        <v>29140.450323944799</v>
      </c>
      <c r="E26">
        <v>3.5284842016355999</v>
      </c>
    </row>
    <row r="27" spans="1:5" x14ac:dyDescent="0.45">
      <c r="A27" t="s">
        <v>121</v>
      </c>
      <c r="B27" t="s">
        <v>124</v>
      </c>
      <c r="C27" t="s">
        <v>17</v>
      </c>
      <c r="D27">
        <v>1555.57625690604</v>
      </c>
      <c r="E27">
        <v>3.90239630623969</v>
      </c>
    </row>
    <row r="28" spans="1:5" x14ac:dyDescent="0.45">
      <c r="A28" t="s">
        <v>121</v>
      </c>
      <c r="B28" t="s">
        <v>122</v>
      </c>
      <c r="C28" t="s">
        <v>18</v>
      </c>
      <c r="D28">
        <v>899.47836492210604</v>
      </c>
      <c r="E28">
        <v>5.4929599744376896</v>
      </c>
    </row>
    <row r="29" spans="1:5" x14ac:dyDescent="0.45">
      <c r="A29" t="s">
        <v>121</v>
      </c>
      <c r="B29" t="s">
        <v>123</v>
      </c>
      <c r="C29" t="s">
        <v>18</v>
      </c>
      <c r="D29">
        <v>29233.588763554799</v>
      </c>
      <c r="E29">
        <v>4.1280060805966103</v>
      </c>
    </row>
    <row r="30" spans="1:5" x14ac:dyDescent="0.45">
      <c r="A30" t="s">
        <v>121</v>
      </c>
      <c r="B30" t="s">
        <v>124</v>
      </c>
      <c r="C30" t="s">
        <v>18</v>
      </c>
      <c r="D30">
        <v>1646.15530487359</v>
      </c>
      <c r="E30">
        <v>4.4799158611958898</v>
      </c>
    </row>
    <row r="31" spans="1:5" x14ac:dyDescent="0.45">
      <c r="A31" t="s">
        <v>121</v>
      </c>
      <c r="B31" t="s">
        <v>122</v>
      </c>
      <c r="C31" t="s">
        <v>19</v>
      </c>
      <c r="D31">
        <v>937.05236192419</v>
      </c>
      <c r="E31">
        <v>5.4507791142122404</v>
      </c>
    </row>
    <row r="32" spans="1:5" x14ac:dyDescent="0.45">
      <c r="A32" t="s">
        <v>121</v>
      </c>
      <c r="B32" t="s">
        <v>123</v>
      </c>
      <c r="C32" t="s">
        <v>19</v>
      </c>
      <c r="D32">
        <v>28734.836939021399</v>
      </c>
      <c r="E32">
        <v>4.2042995594739203</v>
      </c>
    </row>
    <row r="33" spans="1:5" x14ac:dyDescent="0.45">
      <c r="A33" t="s">
        <v>121</v>
      </c>
      <c r="B33" t="s">
        <v>124</v>
      </c>
      <c r="C33" t="s">
        <v>19</v>
      </c>
      <c r="D33">
        <v>1535.2149712459</v>
      </c>
      <c r="E33">
        <v>4.57817077320035</v>
      </c>
    </row>
    <row r="34" spans="1:5" x14ac:dyDescent="0.45">
      <c r="A34" t="s">
        <v>121</v>
      </c>
      <c r="B34" t="s">
        <v>122</v>
      </c>
      <c r="C34" t="s">
        <v>20</v>
      </c>
      <c r="D34">
        <v>845.71186248418599</v>
      </c>
      <c r="E34">
        <v>5.1506551398745497</v>
      </c>
    </row>
    <row r="35" spans="1:5" x14ac:dyDescent="0.45">
      <c r="A35" t="s">
        <v>121</v>
      </c>
      <c r="B35" t="s">
        <v>123</v>
      </c>
      <c r="C35" t="s">
        <v>20</v>
      </c>
      <c r="D35">
        <v>27005.697633103198</v>
      </c>
      <c r="E35">
        <v>4.0838116262661002</v>
      </c>
    </row>
    <row r="36" spans="1:5" x14ac:dyDescent="0.45">
      <c r="A36" t="s">
        <v>121</v>
      </c>
      <c r="B36" t="s">
        <v>124</v>
      </c>
      <c r="C36" t="s">
        <v>20</v>
      </c>
      <c r="D36">
        <v>1419.2694009636</v>
      </c>
      <c r="E36">
        <v>4.4467852350065602</v>
      </c>
    </row>
    <row r="37" spans="1:5" x14ac:dyDescent="0.45">
      <c r="A37" t="s">
        <v>121</v>
      </c>
      <c r="B37" t="s">
        <v>122</v>
      </c>
      <c r="C37" t="s">
        <v>21</v>
      </c>
      <c r="D37">
        <v>684.95751660037104</v>
      </c>
      <c r="E37">
        <v>5.3812783001646798</v>
      </c>
    </row>
    <row r="38" spans="1:5" x14ac:dyDescent="0.45">
      <c r="A38" t="s">
        <v>121</v>
      </c>
      <c r="B38" t="s">
        <v>123</v>
      </c>
      <c r="C38" t="s">
        <v>21</v>
      </c>
      <c r="D38">
        <v>21652.6730614882</v>
      </c>
      <c r="E38">
        <v>4.0317855195873999</v>
      </c>
    </row>
    <row r="39" spans="1:5" x14ac:dyDescent="0.45">
      <c r="A39" t="s">
        <v>121</v>
      </c>
      <c r="B39" t="s">
        <v>124</v>
      </c>
      <c r="C39" t="s">
        <v>21</v>
      </c>
      <c r="D39">
        <v>1164.6611903540399</v>
      </c>
      <c r="E39">
        <v>4.3713706419321099</v>
      </c>
    </row>
    <row r="40" spans="1:5" x14ac:dyDescent="0.45">
      <c r="A40" t="s">
        <v>121</v>
      </c>
      <c r="B40" t="s">
        <v>122</v>
      </c>
      <c r="C40" t="s">
        <v>22</v>
      </c>
      <c r="D40">
        <v>509.79734951191602</v>
      </c>
      <c r="E40">
        <v>6.8905209213736098</v>
      </c>
    </row>
    <row r="41" spans="1:5" x14ac:dyDescent="0.45">
      <c r="A41" t="s">
        <v>121</v>
      </c>
      <c r="B41" t="s">
        <v>123</v>
      </c>
      <c r="C41" t="s">
        <v>22</v>
      </c>
      <c r="D41">
        <v>15628.1094732725</v>
      </c>
      <c r="E41">
        <v>5.0208596938818104</v>
      </c>
    </row>
    <row r="42" spans="1:5" x14ac:dyDescent="0.45">
      <c r="A42" t="s">
        <v>121</v>
      </c>
      <c r="B42" t="s">
        <v>124</v>
      </c>
      <c r="C42" t="s">
        <v>22</v>
      </c>
      <c r="D42">
        <v>841.60202670809997</v>
      </c>
      <c r="E42">
        <v>5.3497260754673901</v>
      </c>
    </row>
    <row r="43" spans="1:5" x14ac:dyDescent="0.45">
      <c r="A43" t="s">
        <v>121</v>
      </c>
      <c r="B43" t="s">
        <v>122</v>
      </c>
      <c r="C43" t="s">
        <v>23</v>
      </c>
      <c r="D43">
        <v>325.068990817817</v>
      </c>
      <c r="E43">
        <v>6.3894107559966802</v>
      </c>
    </row>
    <row r="44" spans="1:5" x14ac:dyDescent="0.45">
      <c r="A44" t="s">
        <v>121</v>
      </c>
      <c r="B44" t="s">
        <v>123</v>
      </c>
      <c r="C44" t="s">
        <v>23</v>
      </c>
      <c r="D44">
        <v>9790.9703010144294</v>
      </c>
      <c r="E44">
        <v>4.7351057400053103</v>
      </c>
    </row>
    <row r="45" spans="1:5" x14ac:dyDescent="0.45">
      <c r="A45" t="s">
        <v>121</v>
      </c>
      <c r="B45" t="s">
        <v>124</v>
      </c>
      <c r="C45" t="s">
        <v>23</v>
      </c>
      <c r="D45">
        <v>520.25024379455704</v>
      </c>
      <c r="E45">
        <v>5.3949329149130199</v>
      </c>
    </row>
    <row r="46" spans="1:5" x14ac:dyDescent="0.45">
      <c r="A46" t="s">
        <v>121</v>
      </c>
      <c r="B46" t="s">
        <v>122</v>
      </c>
      <c r="C46" t="s">
        <v>24</v>
      </c>
      <c r="D46">
        <v>116.99902712060801</v>
      </c>
      <c r="E46">
        <v>5.2297273638157602</v>
      </c>
    </row>
    <row r="47" spans="1:5" x14ac:dyDescent="0.45">
      <c r="A47" t="s">
        <v>121</v>
      </c>
      <c r="B47" t="s">
        <v>123</v>
      </c>
      <c r="C47" t="s">
        <v>24</v>
      </c>
      <c r="D47">
        <v>3555.12795834389</v>
      </c>
      <c r="E47">
        <v>3.7562866671131498</v>
      </c>
    </row>
    <row r="48" spans="1:5" x14ac:dyDescent="0.45">
      <c r="A48" t="s">
        <v>121</v>
      </c>
      <c r="B48" t="s">
        <v>124</v>
      </c>
      <c r="C48" t="s">
        <v>24</v>
      </c>
      <c r="D48">
        <v>190.60758877470599</v>
      </c>
      <c r="E48">
        <v>4.0571567414324399</v>
      </c>
    </row>
    <row r="50" spans="1:8" x14ac:dyDescent="0.45">
      <c r="A50" t="s">
        <v>125</v>
      </c>
    </row>
    <row r="52" spans="1:8" x14ac:dyDescent="0.45">
      <c r="A52" t="s">
        <v>1</v>
      </c>
      <c r="B52" t="s">
        <v>2</v>
      </c>
      <c r="C52" t="s">
        <v>4</v>
      </c>
      <c r="D52" t="s">
        <v>26</v>
      </c>
      <c r="E52" t="s">
        <v>27</v>
      </c>
      <c r="F52" t="s">
        <v>28</v>
      </c>
      <c r="G52" t="s">
        <v>29</v>
      </c>
      <c r="H52" t="s">
        <v>30</v>
      </c>
    </row>
    <row r="53" spans="1:8" x14ac:dyDescent="0.45">
      <c r="A53" t="s">
        <v>121</v>
      </c>
      <c r="B53" t="s">
        <v>122</v>
      </c>
      <c r="C53">
        <v>9459.0382795334008</v>
      </c>
      <c r="D53">
        <v>494</v>
      </c>
      <c r="E53">
        <v>5.2225182455268397</v>
      </c>
      <c r="F53">
        <v>4.9872148030579302</v>
      </c>
      <c r="G53">
        <v>4.9741541641198497</v>
      </c>
      <c r="H53">
        <v>5.0002754419960098</v>
      </c>
    </row>
    <row r="54" spans="1:8" x14ac:dyDescent="0.45">
      <c r="A54" t="s">
        <v>121</v>
      </c>
      <c r="B54" t="s">
        <v>123</v>
      </c>
      <c r="C54">
        <v>292348.15390813502</v>
      </c>
      <c r="D54">
        <v>11668</v>
      </c>
      <c r="E54">
        <v>3.99113175302158</v>
      </c>
      <c r="F54">
        <v>3.8105589863445699</v>
      </c>
      <c r="G54">
        <v>3.8093293277889599</v>
      </c>
      <c r="H54">
        <v>3.8117886449001799</v>
      </c>
    </row>
    <row r="55" spans="1:8" x14ac:dyDescent="0.45">
      <c r="A55" t="s">
        <v>121</v>
      </c>
      <c r="B55" t="s">
        <v>124</v>
      </c>
      <c r="C55">
        <v>15780.287479069901</v>
      </c>
      <c r="D55">
        <v>688</v>
      </c>
      <c r="E55">
        <v>4.3598698750737199</v>
      </c>
      <c r="F55">
        <v>4.1660998146997503</v>
      </c>
      <c r="G55">
        <v>4.1597641680527904</v>
      </c>
      <c r="H55">
        <v>4.1724354613467201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71"/>
  <sheetViews>
    <sheetView workbookViewId="0"/>
  </sheetViews>
  <sheetFormatPr baseColWidth="10" defaultRowHeight="14.25" x14ac:dyDescent="0.45"/>
  <sheetData>
    <row r="1" spans="1:5" x14ac:dyDescent="0.45">
      <c r="A1" t="s">
        <v>126</v>
      </c>
    </row>
    <row r="3" spans="1:5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45">
      <c r="A4" t="s">
        <v>127</v>
      </c>
      <c r="B4" t="s">
        <v>128</v>
      </c>
      <c r="C4" t="s">
        <v>8</v>
      </c>
    </row>
    <row r="5" spans="1:5" x14ac:dyDescent="0.45">
      <c r="A5" t="s">
        <v>127</v>
      </c>
      <c r="B5" t="s">
        <v>129</v>
      </c>
      <c r="C5" t="s">
        <v>8</v>
      </c>
      <c r="D5">
        <v>2011.3798067021</v>
      </c>
      <c r="E5">
        <v>3.3642948254171499</v>
      </c>
    </row>
    <row r="6" spans="1:5" x14ac:dyDescent="0.45">
      <c r="A6" t="s">
        <v>127</v>
      </c>
      <c r="B6" t="s">
        <v>130</v>
      </c>
      <c r="C6" t="s">
        <v>8</v>
      </c>
      <c r="D6">
        <v>2783.9937163826698</v>
      </c>
      <c r="E6">
        <v>3.37553375247826</v>
      </c>
    </row>
    <row r="7" spans="1:5" x14ac:dyDescent="0.45">
      <c r="A7" t="s">
        <v>127</v>
      </c>
      <c r="B7" t="s">
        <v>131</v>
      </c>
      <c r="C7" t="s">
        <v>8</v>
      </c>
      <c r="D7">
        <v>333.57004894304299</v>
      </c>
      <c r="E7">
        <v>3.7928418295222399</v>
      </c>
    </row>
    <row r="8" spans="1:5" x14ac:dyDescent="0.45">
      <c r="A8" t="s">
        <v>127</v>
      </c>
      <c r="B8" t="s">
        <v>128</v>
      </c>
      <c r="C8" t="s">
        <v>11</v>
      </c>
    </row>
    <row r="9" spans="1:5" x14ac:dyDescent="0.45">
      <c r="A9" t="s">
        <v>127</v>
      </c>
      <c r="B9" t="s">
        <v>129</v>
      </c>
      <c r="C9" t="s">
        <v>11</v>
      </c>
      <c r="D9">
        <v>4156.2234323205403</v>
      </c>
      <c r="E9">
        <v>3.27215560959112</v>
      </c>
    </row>
    <row r="10" spans="1:5" x14ac:dyDescent="0.45">
      <c r="A10" t="s">
        <v>127</v>
      </c>
      <c r="B10" t="s">
        <v>130</v>
      </c>
      <c r="C10" t="s">
        <v>11</v>
      </c>
      <c r="D10">
        <v>5446.7955229805602</v>
      </c>
      <c r="E10">
        <v>3.3608115823158702</v>
      </c>
    </row>
    <row r="11" spans="1:5" x14ac:dyDescent="0.45">
      <c r="A11" t="s">
        <v>127</v>
      </c>
      <c r="B11" t="s">
        <v>131</v>
      </c>
      <c r="C11" t="s">
        <v>11</v>
      </c>
      <c r="D11">
        <v>902.663140754702</v>
      </c>
      <c r="E11">
        <v>3.5470940113321299</v>
      </c>
    </row>
    <row r="12" spans="1:5" x14ac:dyDescent="0.45">
      <c r="A12" t="s">
        <v>127</v>
      </c>
      <c r="B12" t="s">
        <v>128</v>
      </c>
      <c r="C12" t="s">
        <v>12</v>
      </c>
    </row>
    <row r="13" spans="1:5" x14ac:dyDescent="0.45">
      <c r="A13" t="s">
        <v>127</v>
      </c>
      <c r="B13" t="s">
        <v>129</v>
      </c>
      <c r="C13" t="s">
        <v>12</v>
      </c>
      <c r="D13">
        <v>6148.9314885732301</v>
      </c>
      <c r="E13">
        <v>3.2470482568491099</v>
      </c>
    </row>
    <row r="14" spans="1:5" x14ac:dyDescent="0.45">
      <c r="A14" t="s">
        <v>127</v>
      </c>
      <c r="B14" t="s">
        <v>130</v>
      </c>
      <c r="C14" t="s">
        <v>12</v>
      </c>
      <c r="D14">
        <v>8163.8422395703101</v>
      </c>
      <c r="E14">
        <v>3.3084099094744799</v>
      </c>
    </row>
    <row r="15" spans="1:5" x14ac:dyDescent="0.45">
      <c r="A15" t="s">
        <v>127</v>
      </c>
      <c r="B15" t="s">
        <v>131</v>
      </c>
      <c r="C15" t="s">
        <v>12</v>
      </c>
      <c r="D15">
        <v>1775.6641706919099</v>
      </c>
      <c r="E15">
        <v>3.6114083597769602</v>
      </c>
    </row>
    <row r="16" spans="1:5" x14ac:dyDescent="0.45">
      <c r="A16" t="s">
        <v>127</v>
      </c>
      <c r="B16" t="s">
        <v>128</v>
      </c>
      <c r="C16" t="s">
        <v>13</v>
      </c>
    </row>
    <row r="17" spans="1:5" x14ac:dyDescent="0.45">
      <c r="A17" t="s">
        <v>127</v>
      </c>
      <c r="B17" t="s">
        <v>129</v>
      </c>
      <c r="C17" t="s">
        <v>13</v>
      </c>
      <c r="D17">
        <v>8472.2213428885698</v>
      </c>
      <c r="E17">
        <v>3.1543407346484802</v>
      </c>
    </row>
    <row r="18" spans="1:5" x14ac:dyDescent="0.45">
      <c r="A18" t="s">
        <v>127</v>
      </c>
      <c r="B18" t="s">
        <v>130</v>
      </c>
      <c r="C18" t="s">
        <v>13</v>
      </c>
      <c r="D18">
        <v>10677.0673937679</v>
      </c>
      <c r="E18">
        <v>3.3244557585167902</v>
      </c>
    </row>
    <row r="19" spans="1:5" x14ac:dyDescent="0.45">
      <c r="A19" t="s">
        <v>127</v>
      </c>
      <c r="B19" t="s">
        <v>131</v>
      </c>
      <c r="C19" t="s">
        <v>13</v>
      </c>
      <c r="D19">
        <v>2657.8965924937102</v>
      </c>
      <c r="E19">
        <v>3.6553486637842201</v>
      </c>
    </row>
    <row r="20" spans="1:5" x14ac:dyDescent="0.45">
      <c r="A20" t="s">
        <v>127</v>
      </c>
      <c r="B20" t="s">
        <v>128</v>
      </c>
      <c r="C20" t="s">
        <v>14</v>
      </c>
    </row>
    <row r="21" spans="1:5" x14ac:dyDescent="0.45">
      <c r="A21" t="s">
        <v>127</v>
      </c>
      <c r="B21" t="s">
        <v>129</v>
      </c>
      <c r="C21" t="s">
        <v>14</v>
      </c>
      <c r="D21">
        <v>10377.2724167817</v>
      </c>
      <c r="E21">
        <v>3.3697451260260198</v>
      </c>
    </row>
    <row r="22" spans="1:5" x14ac:dyDescent="0.45">
      <c r="A22" t="s">
        <v>127</v>
      </c>
      <c r="B22" t="s">
        <v>130</v>
      </c>
      <c r="C22" t="s">
        <v>14</v>
      </c>
      <c r="D22">
        <v>12945.6900588834</v>
      </c>
      <c r="E22">
        <v>3.4634924729680598</v>
      </c>
    </row>
    <row r="23" spans="1:5" x14ac:dyDescent="0.45">
      <c r="A23" t="s">
        <v>127</v>
      </c>
      <c r="B23" t="s">
        <v>131</v>
      </c>
      <c r="C23" t="s">
        <v>14</v>
      </c>
      <c r="D23">
        <v>3968.0106912538599</v>
      </c>
      <c r="E23">
        <v>3.8920409417272599</v>
      </c>
    </row>
    <row r="24" spans="1:5" x14ac:dyDescent="0.45">
      <c r="A24" t="s">
        <v>127</v>
      </c>
      <c r="B24" t="s">
        <v>128</v>
      </c>
      <c r="C24" t="s">
        <v>15</v>
      </c>
    </row>
    <row r="25" spans="1:5" x14ac:dyDescent="0.45">
      <c r="A25" t="s">
        <v>127</v>
      </c>
      <c r="B25" t="s">
        <v>129</v>
      </c>
      <c r="C25" t="s">
        <v>15</v>
      </c>
      <c r="D25">
        <v>10392.813677585</v>
      </c>
      <c r="E25">
        <v>3.3551086215299901</v>
      </c>
    </row>
    <row r="26" spans="1:5" x14ac:dyDescent="0.45">
      <c r="A26" t="s">
        <v>127</v>
      </c>
      <c r="B26" t="s">
        <v>130</v>
      </c>
      <c r="C26" t="s">
        <v>15</v>
      </c>
      <c r="D26">
        <v>12947.7602722792</v>
      </c>
      <c r="E26">
        <v>3.4679453015960799</v>
      </c>
    </row>
    <row r="27" spans="1:5" x14ac:dyDescent="0.45">
      <c r="A27" t="s">
        <v>127</v>
      </c>
      <c r="B27" t="s">
        <v>131</v>
      </c>
      <c r="C27" t="s">
        <v>15</v>
      </c>
      <c r="D27">
        <v>4940.9522387352099</v>
      </c>
      <c r="E27">
        <v>4.0372771047146596</v>
      </c>
    </row>
    <row r="28" spans="1:5" x14ac:dyDescent="0.45">
      <c r="A28" t="s">
        <v>127</v>
      </c>
      <c r="B28" t="s">
        <v>128</v>
      </c>
      <c r="C28" t="s">
        <v>16</v>
      </c>
    </row>
    <row r="29" spans="1:5" x14ac:dyDescent="0.45">
      <c r="A29" t="s">
        <v>127</v>
      </c>
      <c r="B29" t="s">
        <v>129</v>
      </c>
      <c r="C29" t="s">
        <v>16</v>
      </c>
      <c r="D29">
        <v>10554.8024454769</v>
      </c>
      <c r="E29">
        <v>3.3742339758855802</v>
      </c>
    </row>
    <row r="30" spans="1:5" x14ac:dyDescent="0.45">
      <c r="A30" t="s">
        <v>127</v>
      </c>
      <c r="B30" t="s">
        <v>130</v>
      </c>
      <c r="C30" t="s">
        <v>16</v>
      </c>
      <c r="D30">
        <v>13454.855816670601</v>
      </c>
      <c r="E30">
        <v>3.4864221192320501</v>
      </c>
    </row>
    <row r="31" spans="1:5" x14ac:dyDescent="0.45">
      <c r="A31" t="s">
        <v>127</v>
      </c>
      <c r="B31" t="s">
        <v>131</v>
      </c>
      <c r="C31" t="s">
        <v>16</v>
      </c>
      <c r="D31">
        <v>5582.5758084055396</v>
      </c>
      <c r="E31">
        <v>4.1051114203920704</v>
      </c>
    </row>
    <row r="32" spans="1:5" x14ac:dyDescent="0.45">
      <c r="A32" t="s">
        <v>127</v>
      </c>
      <c r="B32" t="s">
        <v>128</v>
      </c>
      <c r="C32" t="s">
        <v>17</v>
      </c>
    </row>
    <row r="33" spans="1:5" x14ac:dyDescent="0.45">
      <c r="A33" t="s">
        <v>127</v>
      </c>
      <c r="B33" t="s">
        <v>129</v>
      </c>
      <c r="C33" t="s">
        <v>17</v>
      </c>
      <c r="D33">
        <v>11306.624774878201</v>
      </c>
      <c r="E33">
        <v>3.3796786915958301</v>
      </c>
    </row>
    <row r="34" spans="1:5" x14ac:dyDescent="0.45">
      <c r="A34" t="s">
        <v>127</v>
      </c>
      <c r="B34" t="s">
        <v>130</v>
      </c>
      <c r="C34" t="s">
        <v>17</v>
      </c>
      <c r="D34">
        <v>13944.6370866904</v>
      </c>
      <c r="E34">
        <v>3.4373729906416699</v>
      </c>
    </row>
    <row r="35" spans="1:5" x14ac:dyDescent="0.45">
      <c r="A35" t="s">
        <v>127</v>
      </c>
      <c r="B35" t="s">
        <v>131</v>
      </c>
      <c r="C35" t="s">
        <v>17</v>
      </c>
      <c r="D35">
        <v>6403.4051531353698</v>
      </c>
      <c r="E35">
        <v>4.2286833507851096</v>
      </c>
    </row>
    <row r="36" spans="1:5" x14ac:dyDescent="0.45">
      <c r="A36" t="s">
        <v>127</v>
      </c>
      <c r="B36" t="s">
        <v>128</v>
      </c>
      <c r="C36" t="s">
        <v>18</v>
      </c>
      <c r="D36">
        <v>34.775336377387902</v>
      </c>
      <c r="E36">
        <v>7.9363807187309998</v>
      </c>
    </row>
    <row r="37" spans="1:5" x14ac:dyDescent="0.45">
      <c r="A37" t="s">
        <v>127</v>
      </c>
      <c r="B37" t="s">
        <v>129</v>
      </c>
      <c r="C37" t="s">
        <v>18</v>
      </c>
      <c r="D37">
        <v>10793.032702631999</v>
      </c>
      <c r="E37">
        <v>3.78258071600618</v>
      </c>
    </row>
    <row r="38" spans="1:5" x14ac:dyDescent="0.45">
      <c r="A38" t="s">
        <v>127</v>
      </c>
      <c r="B38" t="s">
        <v>130</v>
      </c>
      <c r="C38" t="s">
        <v>18</v>
      </c>
      <c r="D38">
        <v>13019.5035930292</v>
      </c>
      <c r="E38">
        <v>3.9176771292681298</v>
      </c>
    </row>
    <row r="39" spans="1:5" x14ac:dyDescent="0.45">
      <c r="A39" t="s">
        <v>127</v>
      </c>
      <c r="B39" t="s">
        <v>131</v>
      </c>
      <c r="C39" t="s">
        <v>18</v>
      </c>
      <c r="D39">
        <v>7931.9108013119803</v>
      </c>
      <c r="E39">
        <v>5.1543883909272097</v>
      </c>
    </row>
    <row r="40" spans="1:5" x14ac:dyDescent="0.45">
      <c r="A40" t="s">
        <v>127</v>
      </c>
      <c r="B40" t="s">
        <v>128</v>
      </c>
      <c r="C40" t="s">
        <v>19</v>
      </c>
    </row>
    <row r="41" spans="1:5" x14ac:dyDescent="0.45">
      <c r="A41" t="s">
        <v>127</v>
      </c>
      <c r="B41" t="s">
        <v>129</v>
      </c>
      <c r="C41" t="s">
        <v>19</v>
      </c>
      <c r="D41">
        <v>10217.432440349299</v>
      </c>
      <c r="E41">
        <v>3.7859409721604398</v>
      </c>
    </row>
    <row r="42" spans="1:5" x14ac:dyDescent="0.45">
      <c r="A42" t="s">
        <v>127</v>
      </c>
      <c r="B42" t="s">
        <v>130</v>
      </c>
      <c r="C42" t="s">
        <v>19</v>
      </c>
      <c r="D42">
        <v>12841.443855498201</v>
      </c>
      <c r="E42">
        <v>3.88868717603849</v>
      </c>
    </row>
    <row r="43" spans="1:5" x14ac:dyDescent="0.45">
      <c r="A43" t="s">
        <v>127</v>
      </c>
      <c r="B43" t="s">
        <v>131</v>
      </c>
      <c r="C43" t="s">
        <v>19</v>
      </c>
      <c r="D43">
        <v>8148.2279763439601</v>
      </c>
      <c r="E43">
        <v>5.4400846440866504</v>
      </c>
    </row>
    <row r="44" spans="1:5" x14ac:dyDescent="0.45">
      <c r="A44" t="s">
        <v>127</v>
      </c>
      <c r="B44" t="s">
        <v>128</v>
      </c>
      <c r="C44" t="s">
        <v>20</v>
      </c>
    </row>
    <row r="45" spans="1:5" x14ac:dyDescent="0.45">
      <c r="A45" t="s">
        <v>127</v>
      </c>
      <c r="B45" t="s">
        <v>129</v>
      </c>
      <c r="C45" t="s">
        <v>20</v>
      </c>
      <c r="D45">
        <v>9589.1988921378597</v>
      </c>
      <c r="E45">
        <v>3.6972072093745898</v>
      </c>
    </row>
    <row r="46" spans="1:5" x14ac:dyDescent="0.45">
      <c r="A46" t="s">
        <v>127</v>
      </c>
      <c r="B46" t="s">
        <v>130</v>
      </c>
      <c r="C46" t="s">
        <v>20</v>
      </c>
      <c r="D46">
        <v>11747.6607980239</v>
      </c>
      <c r="E46">
        <v>3.6920563204347099</v>
      </c>
    </row>
    <row r="47" spans="1:5" x14ac:dyDescent="0.45">
      <c r="A47" t="s">
        <v>127</v>
      </c>
      <c r="B47" t="s">
        <v>131</v>
      </c>
      <c r="C47" t="s">
        <v>20</v>
      </c>
      <c r="D47">
        <v>7933.8192063891402</v>
      </c>
      <c r="E47">
        <v>5.30980813475316</v>
      </c>
    </row>
    <row r="48" spans="1:5" x14ac:dyDescent="0.45">
      <c r="A48" t="s">
        <v>127</v>
      </c>
      <c r="B48" t="s">
        <v>128</v>
      </c>
      <c r="C48" t="s">
        <v>21</v>
      </c>
    </row>
    <row r="49" spans="1:5" x14ac:dyDescent="0.45">
      <c r="A49" t="s">
        <v>127</v>
      </c>
      <c r="B49" t="s">
        <v>129</v>
      </c>
      <c r="C49" t="s">
        <v>21</v>
      </c>
      <c r="D49">
        <v>7684.3703451727197</v>
      </c>
      <c r="E49">
        <v>3.5425399224174199</v>
      </c>
    </row>
    <row r="50" spans="1:5" x14ac:dyDescent="0.45">
      <c r="A50" t="s">
        <v>127</v>
      </c>
      <c r="B50" t="s">
        <v>130</v>
      </c>
      <c r="C50" t="s">
        <v>21</v>
      </c>
      <c r="D50">
        <v>9102.48973976653</v>
      </c>
      <c r="E50">
        <v>3.6149588983759502</v>
      </c>
    </row>
    <row r="51" spans="1:5" x14ac:dyDescent="0.45">
      <c r="A51" t="s">
        <v>127</v>
      </c>
      <c r="B51" t="s">
        <v>131</v>
      </c>
      <c r="C51" t="s">
        <v>21</v>
      </c>
      <c r="D51">
        <v>6715.4316835033696</v>
      </c>
      <c r="E51">
        <v>5.3531527310962401</v>
      </c>
    </row>
    <row r="52" spans="1:5" x14ac:dyDescent="0.45">
      <c r="A52" t="s">
        <v>127</v>
      </c>
      <c r="B52" t="s">
        <v>128</v>
      </c>
      <c r="C52" t="s">
        <v>22</v>
      </c>
      <c r="D52">
        <v>1997.6646695701299</v>
      </c>
      <c r="E52">
        <v>9.4827824321496603</v>
      </c>
    </row>
    <row r="53" spans="1:5" x14ac:dyDescent="0.45">
      <c r="A53" t="s">
        <v>127</v>
      </c>
      <c r="B53" t="s">
        <v>129</v>
      </c>
      <c r="C53" t="s">
        <v>22</v>
      </c>
      <c r="D53">
        <v>5369.6442106201403</v>
      </c>
      <c r="E53">
        <v>4.2446315465387503</v>
      </c>
    </row>
    <row r="54" spans="1:5" x14ac:dyDescent="0.45">
      <c r="A54" t="s">
        <v>127</v>
      </c>
      <c r="B54" t="s">
        <v>130</v>
      </c>
      <c r="C54" t="s">
        <v>22</v>
      </c>
      <c r="D54">
        <v>6448.9036543950897</v>
      </c>
      <c r="E54">
        <v>4.3174382477694202</v>
      </c>
    </row>
    <row r="55" spans="1:5" x14ac:dyDescent="0.45">
      <c r="A55" t="s">
        <v>127</v>
      </c>
      <c r="B55" t="s">
        <v>131</v>
      </c>
      <c r="C55" t="s">
        <v>22</v>
      </c>
      <c r="D55">
        <v>3163.2963149071702</v>
      </c>
      <c r="E55">
        <v>5.3435811683241798</v>
      </c>
    </row>
    <row r="56" spans="1:5" x14ac:dyDescent="0.45">
      <c r="A56" t="s">
        <v>127</v>
      </c>
      <c r="B56" t="s">
        <v>128</v>
      </c>
      <c r="C56" t="s">
        <v>23</v>
      </c>
      <c r="D56">
        <v>1405.7745256855501</v>
      </c>
      <c r="E56">
        <v>8.8427240394064501</v>
      </c>
    </row>
    <row r="57" spans="1:5" x14ac:dyDescent="0.45">
      <c r="A57" t="s">
        <v>127</v>
      </c>
      <c r="B57" t="s">
        <v>129</v>
      </c>
      <c r="C57" t="s">
        <v>23</v>
      </c>
      <c r="D57">
        <v>3364.2261588763799</v>
      </c>
      <c r="E57">
        <v>4.0380470291239599</v>
      </c>
    </row>
    <row r="58" spans="1:5" x14ac:dyDescent="0.45">
      <c r="A58" t="s">
        <v>127</v>
      </c>
      <c r="B58" t="s">
        <v>130</v>
      </c>
      <c r="C58" t="s">
        <v>23</v>
      </c>
      <c r="D58">
        <v>3953.2693015147202</v>
      </c>
      <c r="E58">
        <v>4.0243690285546503</v>
      </c>
    </row>
    <row r="59" spans="1:5" x14ac:dyDescent="0.45">
      <c r="A59" t="s">
        <v>127</v>
      </c>
      <c r="B59" t="s">
        <v>131</v>
      </c>
      <c r="C59" t="s">
        <v>23</v>
      </c>
      <c r="D59">
        <v>1913.01954955016</v>
      </c>
      <c r="E59">
        <v>4.8717745557745502</v>
      </c>
    </row>
    <row r="60" spans="1:5" x14ac:dyDescent="0.45">
      <c r="A60" t="s">
        <v>127</v>
      </c>
      <c r="B60" t="s">
        <v>128</v>
      </c>
      <c r="C60" t="s">
        <v>24</v>
      </c>
      <c r="D60">
        <v>576.10505734391302</v>
      </c>
      <c r="E60">
        <v>6.8300845433227497</v>
      </c>
    </row>
    <row r="61" spans="1:5" x14ac:dyDescent="0.45">
      <c r="A61" t="s">
        <v>127</v>
      </c>
      <c r="B61" t="s">
        <v>129</v>
      </c>
      <c r="C61" t="s">
        <v>24</v>
      </c>
      <c r="D61">
        <v>1213.5061639676601</v>
      </c>
      <c r="E61">
        <v>3.1659508107310801</v>
      </c>
    </row>
    <row r="62" spans="1:5" x14ac:dyDescent="0.45">
      <c r="A62" t="s">
        <v>127</v>
      </c>
      <c r="B62" t="s">
        <v>130</v>
      </c>
      <c r="C62" t="s">
        <v>24</v>
      </c>
      <c r="D62">
        <v>1382.31822414777</v>
      </c>
      <c r="E62">
        <v>3.1541857260224702</v>
      </c>
    </row>
    <row r="63" spans="1:5" x14ac:dyDescent="0.45">
      <c r="A63" t="s">
        <v>127</v>
      </c>
      <c r="B63" t="s">
        <v>131</v>
      </c>
      <c r="C63" t="s">
        <v>24</v>
      </c>
      <c r="D63">
        <v>690.80512877986996</v>
      </c>
      <c r="E63">
        <v>3.7672594430211301</v>
      </c>
    </row>
    <row r="65" spans="1:8" x14ac:dyDescent="0.45">
      <c r="A65" t="s">
        <v>132</v>
      </c>
    </row>
    <row r="67" spans="1:8" x14ac:dyDescent="0.45">
      <c r="A67" t="s">
        <v>1</v>
      </c>
      <c r="B67" t="s">
        <v>2</v>
      </c>
      <c r="C67" t="s">
        <v>4</v>
      </c>
      <c r="D67" t="s">
        <v>26</v>
      </c>
      <c r="E67" t="s">
        <v>27</v>
      </c>
      <c r="F67" t="s">
        <v>28</v>
      </c>
      <c r="G67" t="s">
        <v>29</v>
      </c>
      <c r="H67" t="s">
        <v>30</v>
      </c>
    </row>
    <row r="68" spans="1:8" x14ac:dyDescent="0.45">
      <c r="A68" t="s">
        <v>127</v>
      </c>
      <c r="B68" t="s">
        <v>128</v>
      </c>
      <c r="C68">
        <v>4014.31958897697</v>
      </c>
      <c r="D68">
        <v>419</v>
      </c>
      <c r="E68">
        <v>10.437634341584101</v>
      </c>
      <c r="F68">
        <v>8.8645488716225298</v>
      </c>
      <c r="G68">
        <v>8.8388982702862595</v>
      </c>
      <c r="H68">
        <v>8.8901994729587894</v>
      </c>
    </row>
    <row r="69" spans="1:8" x14ac:dyDescent="0.45">
      <c r="A69" t="s">
        <v>127</v>
      </c>
      <c r="B69" t="s">
        <v>131</v>
      </c>
      <c r="C69">
        <v>63061.248505199001</v>
      </c>
      <c r="D69">
        <v>3127</v>
      </c>
      <c r="E69">
        <v>4.9586712507637696</v>
      </c>
      <c r="F69">
        <v>4.7270627585464702</v>
      </c>
      <c r="G69">
        <v>4.7237117545885399</v>
      </c>
      <c r="H69">
        <v>4.7304137625043898</v>
      </c>
    </row>
    <row r="70" spans="1:8" x14ac:dyDescent="0.45">
      <c r="A70" t="s">
        <v>127</v>
      </c>
      <c r="B70" t="s">
        <v>129</v>
      </c>
      <c r="C70">
        <v>111651.680298962</v>
      </c>
      <c r="D70">
        <v>4095</v>
      </c>
      <c r="E70">
        <v>3.6676564016189399</v>
      </c>
      <c r="F70">
        <v>3.52098840187828</v>
      </c>
      <c r="G70">
        <v>3.5190714494583601</v>
      </c>
      <c r="H70">
        <v>3.5229053542981998</v>
      </c>
    </row>
    <row r="71" spans="1:8" x14ac:dyDescent="0.45">
      <c r="A71" t="s">
        <v>127</v>
      </c>
      <c r="B71" t="s">
        <v>130</v>
      </c>
      <c r="C71">
        <v>138860.23127360101</v>
      </c>
      <c r="D71">
        <v>5209</v>
      </c>
      <c r="E71">
        <v>3.75125401435962</v>
      </c>
      <c r="F71">
        <v>3.60162521709539</v>
      </c>
      <c r="G71">
        <v>3.59996071606948</v>
      </c>
      <c r="H71">
        <v>3.6032897181213102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71"/>
  <sheetViews>
    <sheetView workbookViewId="0"/>
  </sheetViews>
  <sheetFormatPr baseColWidth="10" defaultRowHeight="14.25" x14ac:dyDescent="0.45"/>
  <sheetData>
    <row r="1" spans="1:5" x14ac:dyDescent="0.45">
      <c r="A1" t="s">
        <v>133</v>
      </c>
    </row>
    <row r="3" spans="1:5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45">
      <c r="A4" t="s">
        <v>134</v>
      </c>
      <c r="B4" t="s">
        <v>135</v>
      </c>
      <c r="C4" t="s">
        <v>8</v>
      </c>
      <c r="D4">
        <v>1169.6378916395399</v>
      </c>
      <c r="E4">
        <v>3.3318033644451801</v>
      </c>
    </row>
    <row r="5" spans="1:5" x14ac:dyDescent="0.45">
      <c r="A5" t="s">
        <v>134</v>
      </c>
      <c r="B5" t="s">
        <v>136</v>
      </c>
      <c r="C5" t="s">
        <v>8</v>
      </c>
      <c r="D5">
        <v>1552.11531527176</v>
      </c>
      <c r="E5">
        <v>3.2465650738915102</v>
      </c>
    </row>
    <row r="6" spans="1:5" x14ac:dyDescent="0.45">
      <c r="A6" t="s">
        <v>134</v>
      </c>
      <c r="B6" t="s">
        <v>137</v>
      </c>
      <c r="C6" t="s">
        <v>8</v>
      </c>
      <c r="D6">
        <v>1256.4337036383399</v>
      </c>
      <c r="E6">
        <v>3.7586553048826001</v>
      </c>
    </row>
    <row r="7" spans="1:5" x14ac:dyDescent="0.45">
      <c r="A7" t="s">
        <v>134</v>
      </c>
      <c r="B7" t="s">
        <v>138</v>
      </c>
      <c r="C7" t="s">
        <v>8</v>
      </c>
      <c r="D7">
        <v>1150.7566614781699</v>
      </c>
      <c r="E7">
        <v>3.2769480740284802</v>
      </c>
    </row>
    <row r="8" spans="1:5" x14ac:dyDescent="0.45">
      <c r="A8" t="s">
        <v>134</v>
      </c>
      <c r="B8" t="s">
        <v>135</v>
      </c>
      <c r="C8" t="s">
        <v>11</v>
      </c>
      <c r="D8">
        <v>2329.7403847732999</v>
      </c>
      <c r="E8">
        <v>3.1637664541527402</v>
      </c>
    </row>
    <row r="9" spans="1:5" x14ac:dyDescent="0.45">
      <c r="A9" t="s">
        <v>134</v>
      </c>
      <c r="B9" t="s">
        <v>136</v>
      </c>
      <c r="C9" t="s">
        <v>11</v>
      </c>
      <c r="D9">
        <v>3261.42739349371</v>
      </c>
      <c r="E9">
        <v>3.2747374621460699</v>
      </c>
    </row>
    <row r="10" spans="1:5" x14ac:dyDescent="0.45">
      <c r="A10" t="s">
        <v>134</v>
      </c>
      <c r="B10" t="s">
        <v>137</v>
      </c>
      <c r="C10" t="s">
        <v>11</v>
      </c>
      <c r="D10">
        <v>2586.2923033110901</v>
      </c>
      <c r="E10">
        <v>3.6747443122664598</v>
      </c>
    </row>
    <row r="11" spans="1:5" x14ac:dyDescent="0.45">
      <c r="A11" t="s">
        <v>134</v>
      </c>
      <c r="B11" t="s">
        <v>138</v>
      </c>
      <c r="C11" t="s">
        <v>11</v>
      </c>
      <c r="D11">
        <v>2328.2220144777102</v>
      </c>
      <c r="E11">
        <v>3.2437879203764899</v>
      </c>
    </row>
    <row r="12" spans="1:5" x14ac:dyDescent="0.45">
      <c r="A12" t="s">
        <v>134</v>
      </c>
      <c r="B12" t="s">
        <v>135</v>
      </c>
      <c r="C12" t="s">
        <v>12</v>
      </c>
      <c r="D12">
        <v>3627.2976084941802</v>
      </c>
      <c r="E12">
        <v>3.1741370822003798</v>
      </c>
    </row>
    <row r="13" spans="1:5" x14ac:dyDescent="0.45">
      <c r="A13" t="s">
        <v>134</v>
      </c>
      <c r="B13" t="s">
        <v>136</v>
      </c>
      <c r="C13" t="s">
        <v>12</v>
      </c>
      <c r="D13">
        <v>4809.1349790921204</v>
      </c>
      <c r="E13">
        <v>3.2360305656098598</v>
      </c>
    </row>
    <row r="14" spans="1:5" x14ac:dyDescent="0.45">
      <c r="A14" t="s">
        <v>134</v>
      </c>
      <c r="B14" t="s">
        <v>137</v>
      </c>
      <c r="C14" t="s">
        <v>12</v>
      </c>
      <c r="D14">
        <v>4159.5752187939797</v>
      </c>
      <c r="E14">
        <v>3.62261989290973</v>
      </c>
    </row>
    <row r="15" spans="1:5" x14ac:dyDescent="0.45">
      <c r="A15" t="s">
        <v>134</v>
      </c>
      <c r="B15" t="s">
        <v>138</v>
      </c>
      <c r="C15" t="s">
        <v>12</v>
      </c>
      <c r="D15">
        <v>3492.4300924551599</v>
      </c>
      <c r="E15">
        <v>3.2193213325238101</v>
      </c>
    </row>
    <row r="16" spans="1:5" x14ac:dyDescent="0.45">
      <c r="A16" t="s">
        <v>134</v>
      </c>
      <c r="B16" t="s">
        <v>135</v>
      </c>
      <c r="C16" t="s">
        <v>13</v>
      </c>
      <c r="D16">
        <v>4949.4191458197702</v>
      </c>
      <c r="E16">
        <v>3.1512776825472102</v>
      </c>
    </row>
    <row r="17" spans="1:5" x14ac:dyDescent="0.45">
      <c r="A17" t="s">
        <v>134</v>
      </c>
      <c r="B17" t="s">
        <v>136</v>
      </c>
      <c r="C17" t="s">
        <v>13</v>
      </c>
      <c r="D17">
        <v>6505.7603146850597</v>
      </c>
      <c r="E17">
        <v>3.2390636760912499</v>
      </c>
    </row>
    <row r="18" spans="1:5" x14ac:dyDescent="0.45">
      <c r="A18" t="s">
        <v>134</v>
      </c>
      <c r="B18" t="s">
        <v>137</v>
      </c>
      <c r="C18" t="s">
        <v>13</v>
      </c>
      <c r="D18">
        <v>5555.0251364463102</v>
      </c>
      <c r="E18">
        <v>3.54578679437317</v>
      </c>
    </row>
    <row r="19" spans="1:5" x14ac:dyDescent="0.45">
      <c r="A19" t="s">
        <v>134</v>
      </c>
      <c r="B19" t="s">
        <v>138</v>
      </c>
      <c r="C19" t="s">
        <v>13</v>
      </c>
      <c r="D19">
        <v>4796.9807321990702</v>
      </c>
      <c r="E19">
        <v>3.2455308694054898</v>
      </c>
    </row>
    <row r="20" spans="1:5" x14ac:dyDescent="0.45">
      <c r="A20" t="s">
        <v>134</v>
      </c>
      <c r="B20" t="s">
        <v>135</v>
      </c>
      <c r="C20" t="s">
        <v>14</v>
      </c>
      <c r="D20">
        <v>6137.0166897149902</v>
      </c>
      <c r="E20">
        <v>3.3224664896201501</v>
      </c>
    </row>
    <row r="21" spans="1:5" x14ac:dyDescent="0.45">
      <c r="A21" t="s">
        <v>134</v>
      </c>
      <c r="B21" t="s">
        <v>136</v>
      </c>
      <c r="C21" t="s">
        <v>14</v>
      </c>
      <c r="D21">
        <v>8127.9020509749298</v>
      </c>
      <c r="E21">
        <v>3.3851367200134899</v>
      </c>
    </row>
    <row r="22" spans="1:5" x14ac:dyDescent="0.45">
      <c r="A22" t="s">
        <v>134</v>
      </c>
      <c r="B22" t="s">
        <v>137</v>
      </c>
      <c r="C22" t="s">
        <v>14</v>
      </c>
      <c r="D22">
        <v>7152.4813879927697</v>
      </c>
      <c r="E22">
        <v>3.83650471951074</v>
      </c>
    </row>
    <row r="23" spans="1:5" x14ac:dyDescent="0.45">
      <c r="A23" t="s">
        <v>134</v>
      </c>
      <c r="B23" t="s">
        <v>138</v>
      </c>
      <c r="C23" t="s">
        <v>14</v>
      </c>
      <c r="D23">
        <v>5873.5730382363099</v>
      </c>
      <c r="E23">
        <v>3.3889257141629701</v>
      </c>
    </row>
    <row r="24" spans="1:5" x14ac:dyDescent="0.45">
      <c r="A24" t="s">
        <v>134</v>
      </c>
      <c r="B24" t="s">
        <v>135</v>
      </c>
      <c r="C24" t="s">
        <v>15</v>
      </c>
      <c r="D24">
        <v>6233.0295425083996</v>
      </c>
      <c r="E24">
        <v>3.3617383041337598</v>
      </c>
    </row>
    <row r="25" spans="1:5" x14ac:dyDescent="0.45">
      <c r="A25" t="s">
        <v>134</v>
      </c>
      <c r="B25" t="s">
        <v>136</v>
      </c>
      <c r="C25" t="s">
        <v>15</v>
      </c>
      <c r="D25">
        <v>8494.4682620333606</v>
      </c>
      <c r="E25">
        <v>3.36002863696819</v>
      </c>
    </row>
    <row r="26" spans="1:5" x14ac:dyDescent="0.45">
      <c r="A26" t="s">
        <v>134</v>
      </c>
      <c r="B26" t="s">
        <v>137</v>
      </c>
      <c r="C26" t="s">
        <v>15</v>
      </c>
      <c r="D26">
        <v>7560.3450238291198</v>
      </c>
      <c r="E26">
        <v>3.92843031676238</v>
      </c>
    </row>
    <row r="27" spans="1:5" x14ac:dyDescent="0.45">
      <c r="A27" t="s">
        <v>134</v>
      </c>
      <c r="B27" t="s">
        <v>138</v>
      </c>
      <c r="C27" t="s">
        <v>15</v>
      </c>
      <c r="D27">
        <v>5993.6833602286097</v>
      </c>
      <c r="E27">
        <v>3.4241677300289899</v>
      </c>
    </row>
    <row r="28" spans="1:5" x14ac:dyDescent="0.45">
      <c r="A28" t="s">
        <v>134</v>
      </c>
      <c r="B28" t="s">
        <v>135</v>
      </c>
      <c r="C28" t="s">
        <v>16</v>
      </c>
      <c r="D28">
        <v>6489.4957195540801</v>
      </c>
      <c r="E28">
        <v>3.3693000017809598</v>
      </c>
    </row>
    <row r="29" spans="1:5" x14ac:dyDescent="0.45">
      <c r="A29" t="s">
        <v>134</v>
      </c>
      <c r="B29" t="s">
        <v>136</v>
      </c>
      <c r="C29" t="s">
        <v>16</v>
      </c>
      <c r="D29">
        <v>8843.3733400800793</v>
      </c>
      <c r="E29">
        <v>3.3909477291874</v>
      </c>
    </row>
    <row r="30" spans="1:5" x14ac:dyDescent="0.45">
      <c r="A30" t="s">
        <v>134</v>
      </c>
      <c r="B30" t="s">
        <v>137</v>
      </c>
      <c r="C30" t="s">
        <v>16</v>
      </c>
      <c r="D30">
        <v>8201.7057045981001</v>
      </c>
      <c r="E30">
        <v>4.0088339145872496</v>
      </c>
    </row>
    <row r="31" spans="1:5" x14ac:dyDescent="0.45">
      <c r="A31" t="s">
        <v>134</v>
      </c>
      <c r="B31" t="s">
        <v>138</v>
      </c>
      <c r="C31" t="s">
        <v>16</v>
      </c>
      <c r="D31">
        <v>6057.6593063207001</v>
      </c>
      <c r="E31">
        <v>3.4186513203011701</v>
      </c>
    </row>
    <row r="32" spans="1:5" x14ac:dyDescent="0.45">
      <c r="A32" t="s">
        <v>134</v>
      </c>
      <c r="B32" t="s">
        <v>135</v>
      </c>
      <c r="C32" t="s">
        <v>17</v>
      </c>
      <c r="D32">
        <v>6859.89038171842</v>
      </c>
      <c r="E32">
        <v>3.3593564922532599</v>
      </c>
    </row>
    <row r="33" spans="1:5" x14ac:dyDescent="0.45">
      <c r="A33" t="s">
        <v>134</v>
      </c>
      <c r="B33" t="s">
        <v>136</v>
      </c>
      <c r="C33" t="s">
        <v>17</v>
      </c>
      <c r="D33">
        <v>9295.0586555634709</v>
      </c>
      <c r="E33">
        <v>3.3864243553821098</v>
      </c>
    </row>
    <row r="34" spans="1:5" x14ac:dyDescent="0.45">
      <c r="A34" t="s">
        <v>134</v>
      </c>
      <c r="B34" t="s">
        <v>137</v>
      </c>
      <c r="C34" t="s">
        <v>17</v>
      </c>
      <c r="D34">
        <v>9142.5718803738</v>
      </c>
      <c r="E34">
        <v>4.0786204617056603</v>
      </c>
    </row>
    <row r="35" spans="1:5" x14ac:dyDescent="0.45">
      <c r="A35" t="s">
        <v>134</v>
      </c>
      <c r="B35" t="s">
        <v>138</v>
      </c>
      <c r="C35" t="s">
        <v>17</v>
      </c>
      <c r="D35">
        <v>6357.1460970482904</v>
      </c>
      <c r="E35">
        <v>3.3682943720875098</v>
      </c>
    </row>
    <row r="36" spans="1:5" x14ac:dyDescent="0.45">
      <c r="A36" t="s">
        <v>134</v>
      </c>
      <c r="B36" t="s">
        <v>135</v>
      </c>
      <c r="C36" t="s">
        <v>18</v>
      </c>
      <c r="D36">
        <v>6825.1572125148496</v>
      </c>
      <c r="E36">
        <v>3.9236170003195401</v>
      </c>
    </row>
    <row r="37" spans="1:5" x14ac:dyDescent="0.45">
      <c r="A37" t="s">
        <v>134</v>
      </c>
      <c r="B37" t="s">
        <v>136</v>
      </c>
      <c r="C37" t="s">
        <v>18</v>
      </c>
      <c r="D37">
        <v>9273.0744126886893</v>
      </c>
      <c r="E37">
        <v>3.9339391783638602</v>
      </c>
    </row>
    <row r="38" spans="1:5" x14ac:dyDescent="0.45">
      <c r="A38" t="s">
        <v>134</v>
      </c>
      <c r="B38" t="s">
        <v>137</v>
      </c>
      <c r="C38" t="s">
        <v>18</v>
      </c>
      <c r="D38">
        <v>9669.3121659469998</v>
      </c>
      <c r="E38">
        <v>4.8173454643315301</v>
      </c>
    </row>
    <row r="39" spans="1:5" x14ac:dyDescent="0.45">
      <c r="A39" t="s">
        <v>134</v>
      </c>
      <c r="B39" t="s">
        <v>138</v>
      </c>
      <c r="C39" t="s">
        <v>18</v>
      </c>
      <c r="D39">
        <v>6011.6786422000096</v>
      </c>
      <c r="E39">
        <v>3.8512433477582699</v>
      </c>
    </row>
    <row r="40" spans="1:5" x14ac:dyDescent="0.45">
      <c r="A40" t="s">
        <v>134</v>
      </c>
      <c r="B40" t="s">
        <v>135</v>
      </c>
      <c r="C40" t="s">
        <v>19</v>
      </c>
      <c r="D40">
        <v>6682.0078155682204</v>
      </c>
      <c r="E40">
        <v>3.91949167501072</v>
      </c>
    </row>
    <row r="41" spans="1:5" x14ac:dyDescent="0.45">
      <c r="A41" t="s">
        <v>134</v>
      </c>
      <c r="B41" t="s">
        <v>136</v>
      </c>
      <c r="C41" t="s">
        <v>19</v>
      </c>
      <c r="D41">
        <v>9084.4105243285394</v>
      </c>
      <c r="E41">
        <v>3.9779692432589799</v>
      </c>
    </row>
    <row r="42" spans="1:5" x14ac:dyDescent="0.45">
      <c r="A42" t="s">
        <v>134</v>
      </c>
      <c r="B42" t="s">
        <v>137</v>
      </c>
      <c r="C42" t="s">
        <v>19</v>
      </c>
      <c r="D42">
        <v>9727.2576200917301</v>
      </c>
      <c r="E42">
        <v>5.00047337734427</v>
      </c>
    </row>
    <row r="43" spans="1:5" x14ac:dyDescent="0.45">
      <c r="A43" t="s">
        <v>134</v>
      </c>
      <c r="B43" t="s">
        <v>138</v>
      </c>
      <c r="C43" t="s">
        <v>19</v>
      </c>
      <c r="D43">
        <v>5713.4283122029701</v>
      </c>
      <c r="E43">
        <v>3.8466452032570402</v>
      </c>
    </row>
    <row r="44" spans="1:5" x14ac:dyDescent="0.45">
      <c r="A44" t="s">
        <v>134</v>
      </c>
      <c r="B44" t="s">
        <v>135</v>
      </c>
      <c r="C44" t="s">
        <v>20</v>
      </c>
      <c r="D44">
        <v>6167.0307102082797</v>
      </c>
      <c r="E44">
        <v>3.8261628021426</v>
      </c>
    </row>
    <row r="45" spans="1:5" x14ac:dyDescent="0.45">
      <c r="A45" t="s">
        <v>134</v>
      </c>
      <c r="B45" t="s">
        <v>136</v>
      </c>
      <c r="C45" t="s">
        <v>20</v>
      </c>
      <c r="D45">
        <v>8521.2313109199695</v>
      </c>
      <c r="E45">
        <v>3.83884031977292</v>
      </c>
    </row>
    <row r="46" spans="1:5" x14ac:dyDescent="0.45">
      <c r="A46" t="s">
        <v>134</v>
      </c>
      <c r="B46" t="s">
        <v>137</v>
      </c>
      <c r="C46" t="s">
        <v>20</v>
      </c>
      <c r="D46">
        <v>9382.7497806606898</v>
      </c>
      <c r="E46">
        <v>4.8731515022027798</v>
      </c>
    </row>
    <row r="47" spans="1:5" x14ac:dyDescent="0.45">
      <c r="A47" t="s">
        <v>134</v>
      </c>
      <c r="B47" t="s">
        <v>138</v>
      </c>
      <c r="C47" t="s">
        <v>20</v>
      </c>
      <c r="D47">
        <v>5199.6670947619996</v>
      </c>
      <c r="E47">
        <v>3.63909207469329</v>
      </c>
    </row>
    <row r="48" spans="1:5" x14ac:dyDescent="0.45">
      <c r="A48" t="s">
        <v>134</v>
      </c>
      <c r="B48" t="s">
        <v>135</v>
      </c>
      <c r="C48" t="s">
        <v>21</v>
      </c>
      <c r="D48">
        <v>4993.2302862813203</v>
      </c>
      <c r="E48">
        <v>3.7590326241412799</v>
      </c>
    </row>
    <row r="49" spans="1:5" x14ac:dyDescent="0.45">
      <c r="A49" t="s">
        <v>134</v>
      </c>
      <c r="B49" t="s">
        <v>136</v>
      </c>
      <c r="C49" t="s">
        <v>21</v>
      </c>
      <c r="D49">
        <v>6705.7078801073003</v>
      </c>
      <c r="E49">
        <v>3.7920883122451001</v>
      </c>
    </row>
    <row r="50" spans="1:5" x14ac:dyDescent="0.45">
      <c r="A50" t="s">
        <v>134</v>
      </c>
      <c r="B50" t="s">
        <v>137</v>
      </c>
      <c r="C50" t="s">
        <v>21</v>
      </c>
      <c r="D50">
        <v>7668.07176338314</v>
      </c>
      <c r="E50">
        <v>4.8370678213450402</v>
      </c>
    </row>
    <row r="51" spans="1:5" x14ac:dyDescent="0.45">
      <c r="A51" t="s">
        <v>134</v>
      </c>
      <c r="B51" t="s">
        <v>138</v>
      </c>
      <c r="C51" t="s">
        <v>21</v>
      </c>
      <c r="D51">
        <v>4135.2818386708605</v>
      </c>
      <c r="E51">
        <v>3.5757444935015701</v>
      </c>
    </row>
    <row r="52" spans="1:5" x14ac:dyDescent="0.45">
      <c r="A52" t="s">
        <v>134</v>
      </c>
      <c r="B52" t="s">
        <v>135</v>
      </c>
      <c r="C52" t="s">
        <v>22</v>
      </c>
      <c r="D52">
        <v>3615.3701084988202</v>
      </c>
      <c r="E52">
        <v>4.6450851278147303</v>
      </c>
    </row>
    <row r="53" spans="1:5" x14ac:dyDescent="0.45">
      <c r="A53" t="s">
        <v>134</v>
      </c>
      <c r="B53" t="s">
        <v>136</v>
      </c>
      <c r="C53" t="s">
        <v>22</v>
      </c>
      <c r="D53">
        <v>4844.8601772596403</v>
      </c>
      <c r="E53">
        <v>4.66445437821067</v>
      </c>
    </row>
    <row r="54" spans="1:5" x14ac:dyDescent="0.45">
      <c r="A54" t="s">
        <v>134</v>
      </c>
      <c r="B54" t="s">
        <v>137</v>
      </c>
      <c r="C54" t="s">
        <v>22</v>
      </c>
      <c r="D54">
        <v>5510.7339580478401</v>
      </c>
      <c r="E54">
        <v>6.2017788457211704</v>
      </c>
    </row>
    <row r="55" spans="1:5" x14ac:dyDescent="0.45">
      <c r="A55" t="s">
        <v>134</v>
      </c>
      <c r="B55" t="s">
        <v>138</v>
      </c>
      <c r="C55" t="s">
        <v>22</v>
      </c>
      <c r="D55">
        <v>3008.5446056862202</v>
      </c>
      <c r="E55">
        <v>4.2920985973916697</v>
      </c>
    </row>
    <row r="56" spans="1:5" x14ac:dyDescent="0.45">
      <c r="A56" t="s">
        <v>134</v>
      </c>
      <c r="B56" t="s">
        <v>135</v>
      </c>
      <c r="C56" t="s">
        <v>23</v>
      </c>
      <c r="D56">
        <v>2205.3235696945299</v>
      </c>
      <c r="E56">
        <v>4.2980328094402198</v>
      </c>
    </row>
    <row r="57" spans="1:5" x14ac:dyDescent="0.45">
      <c r="A57" t="s">
        <v>134</v>
      </c>
      <c r="B57" t="s">
        <v>136</v>
      </c>
      <c r="C57" t="s">
        <v>23</v>
      </c>
      <c r="D57">
        <v>3003.3671029584002</v>
      </c>
      <c r="E57">
        <v>4.46683519187002</v>
      </c>
    </row>
    <row r="58" spans="1:5" x14ac:dyDescent="0.45">
      <c r="A58" t="s">
        <v>134</v>
      </c>
      <c r="B58" t="s">
        <v>137</v>
      </c>
      <c r="C58" t="s">
        <v>23</v>
      </c>
      <c r="D58">
        <v>3572.5116313238</v>
      </c>
      <c r="E58">
        <v>5.84505018800259</v>
      </c>
    </row>
    <row r="59" spans="1:5" x14ac:dyDescent="0.45">
      <c r="A59" t="s">
        <v>134</v>
      </c>
      <c r="B59" t="s">
        <v>138</v>
      </c>
      <c r="C59" t="s">
        <v>23</v>
      </c>
      <c r="D59">
        <v>1855.08723165008</v>
      </c>
      <c r="E59">
        <v>4.0264335314482</v>
      </c>
    </row>
    <row r="60" spans="1:5" x14ac:dyDescent="0.45">
      <c r="A60" t="s">
        <v>134</v>
      </c>
      <c r="B60" t="s">
        <v>135</v>
      </c>
      <c r="C60" t="s">
        <v>24</v>
      </c>
      <c r="D60">
        <v>812.52553030294405</v>
      </c>
      <c r="E60">
        <v>3.4183563123214098</v>
      </c>
    </row>
    <row r="61" spans="1:5" x14ac:dyDescent="0.45">
      <c r="A61" t="s">
        <v>134</v>
      </c>
      <c r="B61" t="s">
        <v>136</v>
      </c>
      <c r="C61" t="s">
        <v>24</v>
      </c>
      <c r="D61">
        <v>1097.3265103604799</v>
      </c>
      <c r="E61">
        <v>3.4566123243182498</v>
      </c>
    </row>
    <row r="62" spans="1:5" x14ac:dyDescent="0.45">
      <c r="A62" t="s">
        <v>134</v>
      </c>
      <c r="B62" t="s">
        <v>137</v>
      </c>
      <c r="C62" t="s">
        <v>24</v>
      </c>
      <c r="D62">
        <v>1291.24505762022</v>
      </c>
      <c r="E62">
        <v>4.6277347475447597</v>
      </c>
    </row>
    <row r="63" spans="1:5" x14ac:dyDescent="0.45">
      <c r="A63" t="s">
        <v>134</v>
      </c>
      <c r="B63" t="s">
        <v>138</v>
      </c>
      <c r="C63" t="s">
        <v>24</v>
      </c>
      <c r="D63">
        <v>661.63747595557004</v>
      </c>
      <c r="E63">
        <v>3.3148120704434398</v>
      </c>
    </row>
    <row r="65" spans="1:8" x14ac:dyDescent="0.45">
      <c r="A65" t="s">
        <v>139</v>
      </c>
    </row>
    <row r="67" spans="1:8" x14ac:dyDescent="0.45">
      <c r="A67" t="s">
        <v>1</v>
      </c>
      <c r="B67" t="s">
        <v>2</v>
      </c>
      <c r="C67" t="s">
        <v>4</v>
      </c>
      <c r="D67" t="s">
        <v>26</v>
      </c>
      <c r="E67" t="s">
        <v>27</v>
      </c>
      <c r="F67" t="s">
        <v>28</v>
      </c>
      <c r="G67" t="s">
        <v>29</v>
      </c>
      <c r="H67" t="s">
        <v>30</v>
      </c>
    </row>
    <row r="68" spans="1:8" x14ac:dyDescent="0.45">
      <c r="A68" t="s">
        <v>134</v>
      </c>
      <c r="B68" t="s">
        <v>135</v>
      </c>
      <c r="C68">
        <v>69096.172597291603</v>
      </c>
      <c r="D68">
        <v>2605</v>
      </c>
      <c r="E68">
        <v>3.7701075212697202</v>
      </c>
      <c r="F68">
        <v>3.6039177987995998</v>
      </c>
      <c r="G68">
        <v>3.6013969950335598</v>
      </c>
      <c r="H68">
        <v>3.6064386025656399</v>
      </c>
    </row>
    <row r="69" spans="1:8" x14ac:dyDescent="0.45">
      <c r="A69" t="s">
        <v>134</v>
      </c>
      <c r="B69" t="s">
        <v>136</v>
      </c>
      <c r="C69">
        <v>93419.218229817503</v>
      </c>
      <c r="D69">
        <v>3559</v>
      </c>
      <c r="E69">
        <v>3.8097086096831001</v>
      </c>
      <c r="F69">
        <v>3.6442104819744601</v>
      </c>
      <c r="G69">
        <v>3.6420224247544102</v>
      </c>
      <c r="H69">
        <v>3.6463985391945202</v>
      </c>
    </row>
    <row r="70" spans="1:8" x14ac:dyDescent="0.45">
      <c r="A70" t="s">
        <v>134</v>
      </c>
      <c r="B70" t="s">
        <v>137</v>
      </c>
      <c r="C70">
        <v>92436.312336057905</v>
      </c>
      <c r="D70">
        <v>4373</v>
      </c>
      <c r="E70">
        <v>4.7308248127658796</v>
      </c>
      <c r="F70">
        <v>4.4935846010886999</v>
      </c>
      <c r="G70">
        <v>4.4909475243292398</v>
      </c>
      <c r="H70">
        <v>4.4962216778481698</v>
      </c>
    </row>
    <row r="71" spans="1:8" x14ac:dyDescent="0.45">
      <c r="A71" t="s">
        <v>134</v>
      </c>
      <c r="B71" t="s">
        <v>138</v>
      </c>
      <c r="C71">
        <v>62635.776503571702</v>
      </c>
      <c r="D71">
        <v>2313</v>
      </c>
      <c r="E71">
        <v>3.6927777208415402</v>
      </c>
      <c r="F71">
        <v>3.5458933479983799</v>
      </c>
      <c r="G71">
        <v>3.5434747082267499</v>
      </c>
      <c r="H71">
        <v>3.54831198777002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19"/>
  <sheetViews>
    <sheetView workbookViewId="0"/>
  </sheetViews>
  <sheetFormatPr baseColWidth="10" defaultRowHeight="14.25" x14ac:dyDescent="0.45"/>
  <sheetData>
    <row r="1" spans="1:5" x14ac:dyDescent="0.45">
      <c r="A1" t="s">
        <v>140</v>
      </c>
    </row>
    <row r="3" spans="1:5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45">
      <c r="A4" t="s">
        <v>141</v>
      </c>
      <c r="B4" t="s">
        <v>142</v>
      </c>
      <c r="C4" t="s">
        <v>8</v>
      </c>
    </row>
    <row r="5" spans="1:5" x14ac:dyDescent="0.45">
      <c r="A5" t="s">
        <v>141</v>
      </c>
      <c r="B5" t="s">
        <v>143</v>
      </c>
      <c r="C5" t="s">
        <v>8</v>
      </c>
      <c r="D5">
        <v>988.40536250812204</v>
      </c>
      <c r="E5">
        <v>3.3244893578802102</v>
      </c>
    </row>
    <row r="6" spans="1:5" x14ac:dyDescent="0.45">
      <c r="A6" t="s">
        <v>141</v>
      </c>
      <c r="B6" t="s">
        <v>144</v>
      </c>
      <c r="C6" t="s">
        <v>8</v>
      </c>
      <c r="D6">
        <v>1018.2007328824</v>
      </c>
      <c r="E6">
        <v>3.4066511155861301</v>
      </c>
    </row>
    <row r="7" spans="1:5" x14ac:dyDescent="0.45">
      <c r="A7" t="s">
        <v>141</v>
      </c>
      <c r="B7" t="s">
        <v>145</v>
      </c>
      <c r="C7" t="s">
        <v>8</v>
      </c>
    </row>
    <row r="8" spans="1:5" x14ac:dyDescent="0.45">
      <c r="A8" t="s">
        <v>141</v>
      </c>
      <c r="B8" t="s">
        <v>146</v>
      </c>
      <c r="C8" t="s">
        <v>8</v>
      </c>
      <c r="D8">
        <v>1070.0898480447399</v>
      </c>
      <c r="E8">
        <v>3.36454418795218</v>
      </c>
    </row>
    <row r="9" spans="1:5" x14ac:dyDescent="0.45">
      <c r="A9" t="s">
        <v>141</v>
      </c>
      <c r="B9" t="s">
        <v>147</v>
      </c>
      <c r="C9" t="s">
        <v>8</v>
      </c>
      <c r="D9">
        <v>1038.2127642175701</v>
      </c>
      <c r="E9">
        <v>3.2360703992021298</v>
      </c>
    </row>
    <row r="10" spans="1:5" x14ac:dyDescent="0.45">
      <c r="A10" t="s">
        <v>141</v>
      </c>
      <c r="B10" t="s">
        <v>148</v>
      </c>
      <c r="C10" t="s">
        <v>8</v>
      </c>
      <c r="D10">
        <v>1014.034864375</v>
      </c>
      <c r="E10">
        <v>3.6634104531424598</v>
      </c>
    </row>
    <row r="11" spans="1:5" x14ac:dyDescent="0.45">
      <c r="A11" t="s">
        <v>141</v>
      </c>
      <c r="B11" t="s">
        <v>142</v>
      </c>
      <c r="C11" t="s">
        <v>11</v>
      </c>
      <c r="D11">
        <v>0.16044593628263101</v>
      </c>
      <c r="E11">
        <v>0.60014659048702201</v>
      </c>
    </row>
    <row r="12" spans="1:5" x14ac:dyDescent="0.45">
      <c r="A12" t="s">
        <v>141</v>
      </c>
      <c r="B12" t="s">
        <v>143</v>
      </c>
      <c r="C12" t="s">
        <v>11</v>
      </c>
      <c r="D12">
        <v>2078.2315600866</v>
      </c>
      <c r="E12">
        <v>3.1973824175565202</v>
      </c>
    </row>
    <row r="13" spans="1:5" x14ac:dyDescent="0.45">
      <c r="A13" t="s">
        <v>141</v>
      </c>
      <c r="B13" t="s">
        <v>144</v>
      </c>
      <c r="C13" t="s">
        <v>11</v>
      </c>
      <c r="D13">
        <v>2145.1994990683002</v>
      </c>
      <c r="E13">
        <v>3.3122399462951999</v>
      </c>
    </row>
    <row r="14" spans="1:5" x14ac:dyDescent="0.45">
      <c r="A14" t="s">
        <v>141</v>
      </c>
      <c r="B14" t="s">
        <v>145</v>
      </c>
      <c r="C14" t="s">
        <v>11</v>
      </c>
    </row>
    <row r="15" spans="1:5" x14ac:dyDescent="0.45">
      <c r="A15" t="s">
        <v>141</v>
      </c>
      <c r="B15" t="s">
        <v>146</v>
      </c>
      <c r="C15" t="s">
        <v>11</v>
      </c>
      <c r="D15">
        <v>2058.0045887391502</v>
      </c>
      <c r="E15">
        <v>3.24539955971504</v>
      </c>
    </row>
    <row r="16" spans="1:5" x14ac:dyDescent="0.45">
      <c r="A16" t="s">
        <v>141</v>
      </c>
      <c r="B16" t="s">
        <v>147</v>
      </c>
      <c r="C16" t="s">
        <v>11</v>
      </c>
      <c r="D16">
        <v>2148.41986467786</v>
      </c>
      <c r="E16">
        <v>3.3310697096287001</v>
      </c>
    </row>
    <row r="17" spans="1:5" x14ac:dyDescent="0.45">
      <c r="A17" t="s">
        <v>141</v>
      </c>
      <c r="B17" t="s">
        <v>148</v>
      </c>
      <c r="C17" t="s">
        <v>11</v>
      </c>
      <c r="D17">
        <v>2075.6661375476201</v>
      </c>
      <c r="E17">
        <v>3.6235586485743898</v>
      </c>
    </row>
    <row r="18" spans="1:5" x14ac:dyDescent="0.45">
      <c r="A18" t="s">
        <v>141</v>
      </c>
      <c r="B18" t="s">
        <v>142</v>
      </c>
      <c r="C18" t="s">
        <v>12</v>
      </c>
      <c r="D18">
        <v>2.4606821736786499</v>
      </c>
      <c r="E18">
        <v>9.9261808493716401</v>
      </c>
    </row>
    <row r="19" spans="1:5" x14ac:dyDescent="0.45">
      <c r="A19" t="s">
        <v>141</v>
      </c>
      <c r="B19" t="s">
        <v>143</v>
      </c>
      <c r="C19" t="s">
        <v>12</v>
      </c>
      <c r="D19">
        <v>3250.4140166963498</v>
      </c>
      <c r="E19">
        <v>3.1768960394044301</v>
      </c>
    </row>
    <row r="20" spans="1:5" x14ac:dyDescent="0.45">
      <c r="A20" t="s">
        <v>141</v>
      </c>
      <c r="B20" t="s">
        <v>144</v>
      </c>
      <c r="C20" t="s">
        <v>12</v>
      </c>
      <c r="D20">
        <v>3229.57353264831</v>
      </c>
      <c r="E20">
        <v>3.2226470557321298</v>
      </c>
    </row>
    <row r="21" spans="1:5" x14ac:dyDescent="0.45">
      <c r="A21" t="s">
        <v>141</v>
      </c>
      <c r="B21" t="s">
        <v>145</v>
      </c>
      <c r="C21" t="s">
        <v>12</v>
      </c>
      <c r="D21">
        <v>1</v>
      </c>
      <c r="E21">
        <v>8.6239335516459192</v>
      </c>
    </row>
    <row r="22" spans="1:5" x14ac:dyDescent="0.45">
      <c r="A22" t="s">
        <v>141</v>
      </c>
      <c r="B22" t="s">
        <v>146</v>
      </c>
      <c r="C22" t="s">
        <v>12</v>
      </c>
      <c r="D22">
        <v>3221.7638079640601</v>
      </c>
      <c r="E22">
        <v>3.22420112731804</v>
      </c>
    </row>
    <row r="23" spans="1:5" x14ac:dyDescent="0.45">
      <c r="A23" t="s">
        <v>141</v>
      </c>
      <c r="B23" t="s">
        <v>147</v>
      </c>
      <c r="C23" t="s">
        <v>12</v>
      </c>
      <c r="D23">
        <v>3112.94333515675</v>
      </c>
      <c r="E23">
        <v>3.3222479861799301</v>
      </c>
    </row>
    <row r="24" spans="1:5" x14ac:dyDescent="0.45">
      <c r="A24" t="s">
        <v>141</v>
      </c>
      <c r="B24" t="s">
        <v>148</v>
      </c>
      <c r="C24" t="s">
        <v>12</v>
      </c>
      <c r="D24">
        <v>3270.2825241963101</v>
      </c>
      <c r="E24">
        <v>3.6361463538378902</v>
      </c>
    </row>
    <row r="25" spans="1:5" x14ac:dyDescent="0.45">
      <c r="A25" t="s">
        <v>141</v>
      </c>
      <c r="B25" t="s">
        <v>142</v>
      </c>
      <c r="C25" t="s">
        <v>13</v>
      </c>
      <c r="D25">
        <v>1</v>
      </c>
      <c r="E25">
        <v>7.7501566136239601</v>
      </c>
    </row>
    <row r="26" spans="1:5" x14ac:dyDescent="0.45">
      <c r="A26" t="s">
        <v>141</v>
      </c>
      <c r="B26" t="s">
        <v>143</v>
      </c>
      <c r="C26" t="s">
        <v>13</v>
      </c>
      <c r="D26">
        <v>4404.6546850599498</v>
      </c>
      <c r="E26">
        <v>3.1609519187447099</v>
      </c>
    </row>
    <row r="27" spans="1:5" x14ac:dyDescent="0.45">
      <c r="A27" t="s">
        <v>141</v>
      </c>
      <c r="B27" t="s">
        <v>144</v>
      </c>
      <c r="C27" t="s">
        <v>13</v>
      </c>
      <c r="D27">
        <v>4382.2480540386996</v>
      </c>
      <c r="E27">
        <v>3.1909097027657198</v>
      </c>
    </row>
    <row r="28" spans="1:5" x14ac:dyDescent="0.45">
      <c r="A28" t="s">
        <v>141</v>
      </c>
      <c r="B28" t="s">
        <v>145</v>
      </c>
      <c r="C28" t="s">
        <v>13</v>
      </c>
      <c r="D28">
        <v>1</v>
      </c>
      <c r="E28">
        <v>5.7540914127481102</v>
      </c>
    </row>
    <row r="29" spans="1:5" x14ac:dyDescent="0.45">
      <c r="A29" t="s">
        <v>141</v>
      </c>
      <c r="B29" t="s">
        <v>146</v>
      </c>
      <c r="C29" t="s">
        <v>13</v>
      </c>
      <c r="D29">
        <v>4363.9413356176801</v>
      </c>
      <c r="E29">
        <v>3.27070994894172</v>
      </c>
    </row>
    <row r="30" spans="1:5" x14ac:dyDescent="0.45">
      <c r="A30" t="s">
        <v>141</v>
      </c>
      <c r="B30" t="s">
        <v>147</v>
      </c>
      <c r="C30" t="s">
        <v>13</v>
      </c>
      <c r="D30">
        <v>4282.0401898733599</v>
      </c>
      <c r="E30">
        <v>3.2657882476315501</v>
      </c>
    </row>
    <row r="31" spans="1:5" x14ac:dyDescent="0.45">
      <c r="A31" t="s">
        <v>141</v>
      </c>
      <c r="B31" t="s">
        <v>148</v>
      </c>
      <c r="C31" t="s">
        <v>13</v>
      </c>
      <c r="D31">
        <v>4372.30106456052</v>
      </c>
      <c r="E31">
        <v>3.6040663642721702</v>
      </c>
    </row>
    <row r="32" spans="1:5" x14ac:dyDescent="0.45">
      <c r="A32" t="s">
        <v>141</v>
      </c>
      <c r="B32" t="s">
        <v>142</v>
      </c>
      <c r="C32" t="s">
        <v>14</v>
      </c>
      <c r="D32">
        <v>1</v>
      </c>
      <c r="E32">
        <v>25.845133343912298</v>
      </c>
    </row>
    <row r="33" spans="1:5" x14ac:dyDescent="0.45">
      <c r="A33" t="s">
        <v>141</v>
      </c>
      <c r="B33" t="s">
        <v>143</v>
      </c>
      <c r="C33" t="s">
        <v>14</v>
      </c>
      <c r="D33">
        <v>5479.6450518863703</v>
      </c>
      <c r="E33">
        <v>3.3559120272810401</v>
      </c>
    </row>
    <row r="34" spans="1:5" x14ac:dyDescent="0.45">
      <c r="A34" t="s">
        <v>141</v>
      </c>
      <c r="B34" t="s">
        <v>144</v>
      </c>
      <c r="C34" t="s">
        <v>14</v>
      </c>
      <c r="D34">
        <v>5372.7271923592698</v>
      </c>
      <c r="E34">
        <v>3.44871161564526</v>
      </c>
    </row>
    <row r="35" spans="1:5" x14ac:dyDescent="0.45">
      <c r="A35" t="s">
        <v>141</v>
      </c>
      <c r="B35" t="s">
        <v>145</v>
      </c>
      <c r="C35" t="s">
        <v>14</v>
      </c>
      <c r="D35">
        <v>2</v>
      </c>
      <c r="E35">
        <v>4.39603312075206</v>
      </c>
    </row>
    <row r="36" spans="1:5" x14ac:dyDescent="0.45">
      <c r="A36" t="s">
        <v>141</v>
      </c>
      <c r="B36" t="s">
        <v>146</v>
      </c>
      <c r="C36" t="s">
        <v>14</v>
      </c>
      <c r="D36">
        <v>5457.06475324435</v>
      </c>
      <c r="E36">
        <v>3.4272013336515799</v>
      </c>
    </row>
    <row r="37" spans="1:5" x14ac:dyDescent="0.45">
      <c r="A37" t="s">
        <v>141</v>
      </c>
      <c r="B37" t="s">
        <v>147</v>
      </c>
      <c r="C37" t="s">
        <v>14</v>
      </c>
      <c r="D37">
        <v>5423.9424511932102</v>
      </c>
      <c r="E37">
        <v>3.4137163990022401</v>
      </c>
    </row>
    <row r="38" spans="1:5" x14ac:dyDescent="0.45">
      <c r="A38" t="s">
        <v>141</v>
      </c>
      <c r="B38" t="s">
        <v>148</v>
      </c>
      <c r="C38" t="s">
        <v>14</v>
      </c>
      <c r="D38">
        <v>5554.5937182357902</v>
      </c>
      <c r="E38">
        <v>3.7948107202036301</v>
      </c>
    </row>
    <row r="39" spans="1:5" x14ac:dyDescent="0.45">
      <c r="A39" t="s">
        <v>141</v>
      </c>
      <c r="B39" t="s">
        <v>142</v>
      </c>
      <c r="C39" t="s">
        <v>15</v>
      </c>
    </row>
    <row r="40" spans="1:5" x14ac:dyDescent="0.45">
      <c r="A40" t="s">
        <v>141</v>
      </c>
      <c r="B40" t="s">
        <v>143</v>
      </c>
      <c r="C40" t="s">
        <v>15</v>
      </c>
      <c r="D40">
        <v>5641.7639391722196</v>
      </c>
      <c r="E40">
        <v>3.35075451150685</v>
      </c>
    </row>
    <row r="41" spans="1:5" x14ac:dyDescent="0.45">
      <c r="A41" t="s">
        <v>141</v>
      </c>
      <c r="B41" t="s">
        <v>144</v>
      </c>
      <c r="C41" t="s">
        <v>15</v>
      </c>
      <c r="D41">
        <v>5727.7444655549598</v>
      </c>
      <c r="E41">
        <v>3.53318342837261</v>
      </c>
    </row>
    <row r="42" spans="1:5" x14ac:dyDescent="0.45">
      <c r="A42" t="s">
        <v>141</v>
      </c>
      <c r="B42" t="s">
        <v>145</v>
      </c>
      <c r="C42" t="s">
        <v>15</v>
      </c>
    </row>
    <row r="43" spans="1:5" x14ac:dyDescent="0.45">
      <c r="A43" t="s">
        <v>141</v>
      </c>
      <c r="B43" t="s">
        <v>146</v>
      </c>
      <c r="C43" t="s">
        <v>15</v>
      </c>
      <c r="D43">
        <v>5716.3947365082104</v>
      </c>
      <c r="E43">
        <v>3.4343250177967701</v>
      </c>
    </row>
    <row r="44" spans="1:5" x14ac:dyDescent="0.45">
      <c r="A44" t="s">
        <v>141</v>
      </c>
      <c r="B44" t="s">
        <v>147</v>
      </c>
      <c r="C44" t="s">
        <v>15</v>
      </c>
      <c r="D44">
        <v>5585.2141122860903</v>
      </c>
      <c r="E44">
        <v>3.4754355347435499</v>
      </c>
    </row>
    <row r="45" spans="1:5" x14ac:dyDescent="0.45">
      <c r="A45" t="s">
        <v>141</v>
      </c>
      <c r="B45" t="s">
        <v>148</v>
      </c>
      <c r="C45" t="s">
        <v>15</v>
      </c>
      <c r="D45">
        <v>5610.4089350780196</v>
      </c>
      <c r="E45">
        <v>3.8383636419947602</v>
      </c>
    </row>
    <row r="46" spans="1:5" x14ac:dyDescent="0.45">
      <c r="A46" t="s">
        <v>141</v>
      </c>
      <c r="B46" t="s">
        <v>142</v>
      </c>
      <c r="C46" t="s">
        <v>16</v>
      </c>
      <c r="D46">
        <v>2</v>
      </c>
      <c r="E46">
        <v>22.774587676004899</v>
      </c>
    </row>
    <row r="47" spans="1:5" x14ac:dyDescent="0.45">
      <c r="A47" t="s">
        <v>141</v>
      </c>
      <c r="B47" t="s">
        <v>143</v>
      </c>
      <c r="C47" t="s">
        <v>16</v>
      </c>
      <c r="D47">
        <v>5858.92533705204</v>
      </c>
      <c r="E47">
        <v>3.3892691364499199</v>
      </c>
    </row>
    <row r="48" spans="1:5" x14ac:dyDescent="0.45">
      <c r="A48" t="s">
        <v>141</v>
      </c>
      <c r="B48" t="s">
        <v>144</v>
      </c>
      <c r="C48" t="s">
        <v>16</v>
      </c>
      <c r="D48">
        <v>5923.5240952869399</v>
      </c>
      <c r="E48">
        <v>3.51865794992603</v>
      </c>
    </row>
    <row r="49" spans="1:5" x14ac:dyDescent="0.45">
      <c r="A49" t="s">
        <v>141</v>
      </c>
      <c r="B49" t="s">
        <v>145</v>
      </c>
      <c r="C49" t="s">
        <v>16</v>
      </c>
      <c r="D49">
        <v>2.8937165025481999</v>
      </c>
      <c r="E49">
        <v>5.7487373866736702</v>
      </c>
    </row>
    <row r="50" spans="1:5" x14ac:dyDescent="0.45">
      <c r="A50" t="s">
        <v>141</v>
      </c>
      <c r="B50" t="s">
        <v>146</v>
      </c>
      <c r="C50" t="s">
        <v>16</v>
      </c>
      <c r="D50">
        <v>5811.7197903550796</v>
      </c>
      <c r="E50">
        <v>3.5010292119286399</v>
      </c>
    </row>
    <row r="51" spans="1:5" x14ac:dyDescent="0.45">
      <c r="A51" t="s">
        <v>141</v>
      </c>
      <c r="B51" t="s">
        <v>147</v>
      </c>
      <c r="C51" t="s">
        <v>16</v>
      </c>
      <c r="D51">
        <v>5979.9870191761602</v>
      </c>
      <c r="E51">
        <v>3.5205019014042498</v>
      </c>
    </row>
    <row r="52" spans="1:5" x14ac:dyDescent="0.45">
      <c r="A52" t="s">
        <v>141</v>
      </c>
      <c r="B52" t="s">
        <v>148</v>
      </c>
      <c r="C52" t="s">
        <v>16</v>
      </c>
      <c r="D52">
        <v>6013.1841121801899</v>
      </c>
      <c r="E52">
        <v>3.8712775852136301</v>
      </c>
    </row>
    <row r="53" spans="1:5" x14ac:dyDescent="0.45">
      <c r="A53" t="s">
        <v>141</v>
      </c>
      <c r="B53" t="s">
        <v>142</v>
      </c>
      <c r="C53" t="s">
        <v>17</v>
      </c>
      <c r="D53">
        <v>1</v>
      </c>
      <c r="E53">
        <v>8.3216368207042795</v>
      </c>
    </row>
    <row r="54" spans="1:5" x14ac:dyDescent="0.45">
      <c r="A54" t="s">
        <v>141</v>
      </c>
      <c r="B54" t="s">
        <v>143</v>
      </c>
      <c r="C54" t="s">
        <v>17</v>
      </c>
      <c r="D54">
        <v>6313.7652029616802</v>
      </c>
      <c r="E54">
        <v>3.4061290002076499</v>
      </c>
    </row>
    <row r="55" spans="1:5" x14ac:dyDescent="0.45">
      <c r="A55" t="s">
        <v>141</v>
      </c>
      <c r="B55" t="s">
        <v>144</v>
      </c>
      <c r="C55" t="s">
        <v>17</v>
      </c>
      <c r="D55">
        <v>6359.2375584402198</v>
      </c>
      <c r="E55">
        <v>3.5106663576547099</v>
      </c>
    </row>
    <row r="56" spans="1:5" x14ac:dyDescent="0.45">
      <c r="A56" t="s">
        <v>141</v>
      </c>
      <c r="B56" t="s">
        <v>145</v>
      </c>
      <c r="C56" t="s">
        <v>17</v>
      </c>
      <c r="D56">
        <v>1</v>
      </c>
      <c r="E56">
        <v>10.6899319029908</v>
      </c>
    </row>
    <row r="57" spans="1:5" x14ac:dyDescent="0.45">
      <c r="A57" t="s">
        <v>141</v>
      </c>
      <c r="B57" t="s">
        <v>146</v>
      </c>
      <c r="C57" t="s">
        <v>17</v>
      </c>
      <c r="D57">
        <v>6266.3564580020402</v>
      </c>
      <c r="E57">
        <v>3.51567762603645</v>
      </c>
    </row>
    <row r="58" spans="1:5" x14ac:dyDescent="0.45">
      <c r="A58" t="s">
        <v>141</v>
      </c>
      <c r="B58" t="s">
        <v>147</v>
      </c>
      <c r="C58" t="s">
        <v>17</v>
      </c>
      <c r="D58">
        <v>6392.2146792705298</v>
      </c>
      <c r="E58">
        <v>3.5284861568792398</v>
      </c>
    </row>
    <row r="59" spans="1:5" x14ac:dyDescent="0.45">
      <c r="A59" t="s">
        <v>141</v>
      </c>
      <c r="B59" t="s">
        <v>148</v>
      </c>
      <c r="C59" t="s">
        <v>17</v>
      </c>
      <c r="D59">
        <v>6321.0931160295004</v>
      </c>
      <c r="E59">
        <v>3.9215762413928599</v>
      </c>
    </row>
    <row r="60" spans="1:5" x14ac:dyDescent="0.45">
      <c r="A60" t="s">
        <v>141</v>
      </c>
      <c r="B60" t="s">
        <v>142</v>
      </c>
      <c r="C60" t="s">
        <v>18</v>
      </c>
    </row>
    <row r="61" spans="1:5" x14ac:dyDescent="0.45">
      <c r="A61" t="s">
        <v>141</v>
      </c>
      <c r="B61" t="s">
        <v>143</v>
      </c>
      <c r="C61" t="s">
        <v>18</v>
      </c>
      <c r="D61">
        <v>6293.6154427480196</v>
      </c>
      <c r="E61">
        <v>3.9191409113748801</v>
      </c>
    </row>
    <row r="62" spans="1:5" x14ac:dyDescent="0.45">
      <c r="A62" t="s">
        <v>141</v>
      </c>
      <c r="B62" t="s">
        <v>144</v>
      </c>
      <c r="C62" t="s">
        <v>18</v>
      </c>
      <c r="D62">
        <v>6306.8664898649704</v>
      </c>
      <c r="E62">
        <v>4.1595924121083003</v>
      </c>
    </row>
    <row r="63" spans="1:5" x14ac:dyDescent="0.45">
      <c r="A63" t="s">
        <v>141</v>
      </c>
      <c r="B63" t="s">
        <v>145</v>
      </c>
      <c r="C63" t="s">
        <v>18</v>
      </c>
    </row>
    <row r="64" spans="1:5" x14ac:dyDescent="0.45">
      <c r="A64" t="s">
        <v>141</v>
      </c>
      <c r="B64" t="s">
        <v>146</v>
      </c>
      <c r="C64" t="s">
        <v>18</v>
      </c>
      <c r="D64">
        <v>6515.94311959472</v>
      </c>
      <c r="E64">
        <v>4.1416356413050401</v>
      </c>
    </row>
    <row r="65" spans="1:5" x14ac:dyDescent="0.45">
      <c r="A65" t="s">
        <v>141</v>
      </c>
      <c r="B65" t="s">
        <v>147</v>
      </c>
      <c r="C65" t="s">
        <v>18</v>
      </c>
      <c r="D65">
        <v>6400.6893528194096</v>
      </c>
      <c r="E65">
        <v>4.14490897827711</v>
      </c>
    </row>
    <row r="66" spans="1:5" x14ac:dyDescent="0.45">
      <c r="A66" t="s">
        <v>141</v>
      </c>
      <c r="B66" t="s">
        <v>148</v>
      </c>
      <c r="C66" t="s">
        <v>18</v>
      </c>
      <c r="D66">
        <v>6262.1080283234296</v>
      </c>
      <c r="E66">
        <v>4.5632191551157204</v>
      </c>
    </row>
    <row r="67" spans="1:5" x14ac:dyDescent="0.45">
      <c r="A67" t="s">
        <v>141</v>
      </c>
      <c r="B67" t="s">
        <v>142</v>
      </c>
      <c r="C67" t="s">
        <v>19</v>
      </c>
      <c r="D67">
        <v>1</v>
      </c>
      <c r="E67">
        <v>11.2491201605893</v>
      </c>
    </row>
    <row r="68" spans="1:5" x14ac:dyDescent="0.45">
      <c r="A68" t="s">
        <v>141</v>
      </c>
      <c r="B68" t="s">
        <v>143</v>
      </c>
      <c r="C68" t="s">
        <v>19</v>
      </c>
      <c r="D68">
        <v>6238.1913137888196</v>
      </c>
      <c r="E68">
        <v>4.08905769488321</v>
      </c>
    </row>
    <row r="69" spans="1:5" x14ac:dyDescent="0.45">
      <c r="A69" t="s">
        <v>141</v>
      </c>
      <c r="B69" t="s">
        <v>144</v>
      </c>
      <c r="C69" t="s">
        <v>19</v>
      </c>
      <c r="D69">
        <v>6072.6314751650198</v>
      </c>
      <c r="E69">
        <v>4.2037630626323503</v>
      </c>
    </row>
    <row r="70" spans="1:5" x14ac:dyDescent="0.45">
      <c r="A70" t="s">
        <v>141</v>
      </c>
      <c r="B70" t="s">
        <v>145</v>
      </c>
      <c r="C70" t="s">
        <v>19</v>
      </c>
      <c r="D70">
        <v>1</v>
      </c>
      <c r="E70">
        <v>11.363309635194</v>
      </c>
    </row>
    <row r="71" spans="1:5" x14ac:dyDescent="0.45">
      <c r="A71" t="s">
        <v>141</v>
      </c>
      <c r="B71" t="s">
        <v>146</v>
      </c>
      <c r="C71" t="s">
        <v>19</v>
      </c>
      <c r="D71">
        <v>6205.78590432699</v>
      </c>
      <c r="E71">
        <v>4.1334455709911104</v>
      </c>
    </row>
    <row r="72" spans="1:5" x14ac:dyDescent="0.45">
      <c r="A72" t="s">
        <v>141</v>
      </c>
      <c r="B72" t="s">
        <v>147</v>
      </c>
      <c r="C72" t="s">
        <v>19</v>
      </c>
      <c r="D72">
        <v>6290.0044675518502</v>
      </c>
      <c r="E72">
        <v>4.2148428397708102</v>
      </c>
    </row>
    <row r="73" spans="1:5" x14ac:dyDescent="0.45">
      <c r="A73" t="s">
        <v>141</v>
      </c>
      <c r="B73" t="s">
        <v>148</v>
      </c>
      <c r="C73" t="s">
        <v>19</v>
      </c>
      <c r="D73">
        <v>6398.4911113587796</v>
      </c>
      <c r="E73">
        <v>4.6455491548515804</v>
      </c>
    </row>
    <row r="74" spans="1:5" x14ac:dyDescent="0.45">
      <c r="A74" t="s">
        <v>141</v>
      </c>
      <c r="B74" t="s">
        <v>142</v>
      </c>
      <c r="C74" t="s">
        <v>20</v>
      </c>
      <c r="D74">
        <v>1</v>
      </c>
      <c r="E74">
        <v>6.5348194802856296</v>
      </c>
    </row>
    <row r="75" spans="1:5" x14ac:dyDescent="0.45">
      <c r="A75" t="s">
        <v>141</v>
      </c>
      <c r="B75" t="s">
        <v>143</v>
      </c>
      <c r="C75" t="s">
        <v>20</v>
      </c>
      <c r="D75">
        <v>5885.5948725942199</v>
      </c>
      <c r="E75">
        <v>3.9456527538986998</v>
      </c>
    </row>
    <row r="76" spans="1:5" x14ac:dyDescent="0.45">
      <c r="A76" t="s">
        <v>141</v>
      </c>
      <c r="B76" t="s">
        <v>144</v>
      </c>
      <c r="C76" t="s">
        <v>20</v>
      </c>
      <c r="D76">
        <v>5888.1944750273296</v>
      </c>
      <c r="E76">
        <v>4.0507044062529101</v>
      </c>
    </row>
    <row r="77" spans="1:5" x14ac:dyDescent="0.45">
      <c r="A77" t="s">
        <v>141</v>
      </c>
      <c r="B77" t="s">
        <v>145</v>
      </c>
      <c r="C77" t="s">
        <v>20</v>
      </c>
      <c r="D77">
        <v>3.1709207546897198</v>
      </c>
      <c r="E77">
        <v>5.4637972535940502</v>
      </c>
    </row>
    <row r="78" spans="1:5" x14ac:dyDescent="0.45">
      <c r="A78" t="s">
        <v>141</v>
      </c>
      <c r="B78" t="s">
        <v>146</v>
      </c>
      <c r="C78" t="s">
        <v>20</v>
      </c>
      <c r="D78">
        <v>5742.6527984514396</v>
      </c>
      <c r="E78">
        <v>4.0870552973462804</v>
      </c>
    </row>
    <row r="79" spans="1:5" x14ac:dyDescent="0.45">
      <c r="A79" t="s">
        <v>141</v>
      </c>
      <c r="B79" t="s">
        <v>147</v>
      </c>
      <c r="C79" t="s">
        <v>20</v>
      </c>
      <c r="D79">
        <v>5872.3864129450003</v>
      </c>
      <c r="E79">
        <v>4.0272356242642697</v>
      </c>
    </row>
    <row r="80" spans="1:5" x14ac:dyDescent="0.45">
      <c r="A80" t="s">
        <v>141</v>
      </c>
      <c r="B80" t="s">
        <v>148</v>
      </c>
      <c r="C80" t="s">
        <v>20</v>
      </c>
      <c r="D80">
        <v>5877.67941677826</v>
      </c>
      <c r="E80">
        <v>4.5486669363086998</v>
      </c>
    </row>
    <row r="81" spans="1:5" x14ac:dyDescent="0.45">
      <c r="A81" t="s">
        <v>141</v>
      </c>
      <c r="B81" t="s">
        <v>142</v>
      </c>
      <c r="C81" t="s">
        <v>21</v>
      </c>
    </row>
    <row r="82" spans="1:5" x14ac:dyDescent="0.45">
      <c r="A82" t="s">
        <v>141</v>
      </c>
      <c r="B82" t="s">
        <v>143</v>
      </c>
      <c r="C82" t="s">
        <v>21</v>
      </c>
      <c r="D82">
        <v>4613.3005737946596</v>
      </c>
      <c r="E82">
        <v>3.8773749405120799</v>
      </c>
    </row>
    <row r="83" spans="1:5" x14ac:dyDescent="0.45">
      <c r="A83" t="s">
        <v>141</v>
      </c>
      <c r="B83" t="s">
        <v>144</v>
      </c>
      <c r="C83" t="s">
        <v>21</v>
      </c>
      <c r="D83">
        <v>4703.4543780151398</v>
      </c>
      <c r="E83">
        <v>4.0900864416149396</v>
      </c>
    </row>
    <row r="84" spans="1:5" x14ac:dyDescent="0.45">
      <c r="A84" t="s">
        <v>141</v>
      </c>
      <c r="B84" t="s">
        <v>145</v>
      </c>
      <c r="C84" t="s">
        <v>21</v>
      </c>
      <c r="D84">
        <v>1.92562094411114</v>
      </c>
      <c r="E84">
        <v>3.0123828746982002</v>
      </c>
    </row>
    <row r="85" spans="1:5" x14ac:dyDescent="0.45">
      <c r="A85" t="s">
        <v>141</v>
      </c>
      <c r="B85" t="s">
        <v>146</v>
      </c>
      <c r="C85" t="s">
        <v>21</v>
      </c>
      <c r="D85">
        <v>4736.5340494174297</v>
      </c>
      <c r="E85">
        <v>3.9955791166167098</v>
      </c>
    </row>
    <row r="86" spans="1:5" x14ac:dyDescent="0.45">
      <c r="A86" t="s">
        <v>141</v>
      </c>
      <c r="B86" t="s">
        <v>147</v>
      </c>
      <c r="C86" t="s">
        <v>21</v>
      </c>
      <c r="D86">
        <v>4694.7518963911898</v>
      </c>
      <c r="E86">
        <v>4.0260711329666599</v>
      </c>
    </row>
    <row r="87" spans="1:5" x14ac:dyDescent="0.45">
      <c r="A87" t="s">
        <v>141</v>
      </c>
      <c r="B87" t="s">
        <v>148</v>
      </c>
      <c r="C87" t="s">
        <v>21</v>
      </c>
      <c r="D87">
        <v>4752.3252498800803</v>
      </c>
      <c r="E87">
        <v>4.4438484341787801</v>
      </c>
    </row>
    <row r="88" spans="1:5" x14ac:dyDescent="0.45">
      <c r="A88" t="s">
        <v>141</v>
      </c>
      <c r="B88" t="s">
        <v>142</v>
      </c>
      <c r="C88" t="s">
        <v>22</v>
      </c>
      <c r="D88">
        <v>1</v>
      </c>
      <c r="E88">
        <v>45.484005527291103</v>
      </c>
    </row>
    <row r="89" spans="1:5" x14ac:dyDescent="0.45">
      <c r="A89" t="s">
        <v>141</v>
      </c>
      <c r="B89" t="s">
        <v>143</v>
      </c>
      <c r="C89" t="s">
        <v>22</v>
      </c>
      <c r="D89">
        <v>3420.0902280526302</v>
      </c>
      <c r="E89">
        <v>4.8454140529859</v>
      </c>
    </row>
    <row r="90" spans="1:5" x14ac:dyDescent="0.45">
      <c r="A90" t="s">
        <v>141</v>
      </c>
      <c r="B90" t="s">
        <v>144</v>
      </c>
      <c r="C90" t="s">
        <v>22</v>
      </c>
      <c r="D90">
        <v>3451.7312152878199</v>
      </c>
      <c r="E90">
        <v>5.1032033613621497</v>
      </c>
    </row>
    <row r="91" spans="1:5" x14ac:dyDescent="0.45">
      <c r="A91" t="s">
        <v>141</v>
      </c>
      <c r="B91" t="s">
        <v>145</v>
      </c>
      <c r="C91" t="s">
        <v>22</v>
      </c>
      <c r="D91">
        <v>0.922873779786751</v>
      </c>
      <c r="E91">
        <v>3.1203382859975499</v>
      </c>
    </row>
    <row r="92" spans="1:5" x14ac:dyDescent="0.45">
      <c r="A92" t="s">
        <v>141</v>
      </c>
      <c r="B92" t="s">
        <v>146</v>
      </c>
      <c r="C92" t="s">
        <v>22</v>
      </c>
      <c r="D92">
        <v>3363.0783870222699</v>
      </c>
      <c r="E92">
        <v>4.9430096708585598</v>
      </c>
    </row>
    <row r="93" spans="1:5" x14ac:dyDescent="0.45">
      <c r="A93" t="s">
        <v>141</v>
      </c>
      <c r="B93" t="s">
        <v>147</v>
      </c>
      <c r="C93" t="s">
        <v>22</v>
      </c>
      <c r="D93">
        <v>3502.4527902280902</v>
      </c>
      <c r="E93">
        <v>5.0701052176866597</v>
      </c>
    </row>
    <row r="94" spans="1:5" x14ac:dyDescent="0.45">
      <c r="A94" t="s">
        <v>141</v>
      </c>
      <c r="B94" t="s">
        <v>148</v>
      </c>
      <c r="C94" t="s">
        <v>22</v>
      </c>
      <c r="D94">
        <v>3240.2333551219199</v>
      </c>
      <c r="E94">
        <v>5.5135282440339397</v>
      </c>
    </row>
    <row r="95" spans="1:5" x14ac:dyDescent="0.45">
      <c r="A95" t="s">
        <v>141</v>
      </c>
      <c r="B95" t="s">
        <v>142</v>
      </c>
      <c r="C95" t="s">
        <v>23</v>
      </c>
      <c r="D95">
        <v>0.56340439398307396</v>
      </c>
      <c r="E95">
        <v>12.632766289849499</v>
      </c>
    </row>
    <row r="96" spans="1:5" x14ac:dyDescent="0.45">
      <c r="A96" t="s">
        <v>141</v>
      </c>
      <c r="B96" t="s">
        <v>143</v>
      </c>
      <c r="C96" t="s">
        <v>23</v>
      </c>
      <c r="D96">
        <v>2137.1309150009101</v>
      </c>
      <c r="E96">
        <v>4.60993600680328</v>
      </c>
    </row>
    <row r="97" spans="1:8" x14ac:dyDescent="0.45">
      <c r="A97" t="s">
        <v>141</v>
      </c>
      <c r="B97" t="s">
        <v>144</v>
      </c>
      <c r="C97" t="s">
        <v>23</v>
      </c>
      <c r="D97">
        <v>2165.49665352172</v>
      </c>
      <c r="E97">
        <v>4.7299213746578799</v>
      </c>
    </row>
    <row r="98" spans="1:8" x14ac:dyDescent="0.45">
      <c r="A98" t="s">
        <v>141</v>
      </c>
      <c r="B98" t="s">
        <v>145</v>
      </c>
      <c r="C98" t="s">
        <v>23</v>
      </c>
      <c r="D98">
        <v>1</v>
      </c>
      <c r="E98">
        <v>7.8491096547994497</v>
      </c>
    </row>
    <row r="99" spans="1:8" x14ac:dyDescent="0.45">
      <c r="A99" t="s">
        <v>141</v>
      </c>
      <c r="B99" t="s">
        <v>146</v>
      </c>
      <c r="C99" t="s">
        <v>23</v>
      </c>
      <c r="D99">
        <v>2112.6562948169499</v>
      </c>
      <c r="E99">
        <v>4.7743935398522304</v>
      </c>
    </row>
    <row r="100" spans="1:8" x14ac:dyDescent="0.45">
      <c r="A100" t="s">
        <v>141</v>
      </c>
      <c r="B100" t="s">
        <v>147</v>
      </c>
      <c r="C100" t="s">
        <v>23</v>
      </c>
      <c r="D100">
        <v>2144.8130899416401</v>
      </c>
      <c r="E100">
        <v>4.7256223017908701</v>
      </c>
    </row>
    <row r="101" spans="1:8" x14ac:dyDescent="0.45">
      <c r="A101" t="s">
        <v>141</v>
      </c>
      <c r="B101" t="s">
        <v>148</v>
      </c>
      <c r="C101" t="s">
        <v>23</v>
      </c>
      <c r="D101">
        <v>2074.6291779516</v>
      </c>
      <c r="E101">
        <v>5.2602812068755203</v>
      </c>
    </row>
    <row r="102" spans="1:8" x14ac:dyDescent="0.45">
      <c r="A102" t="s">
        <v>141</v>
      </c>
      <c r="B102" t="s">
        <v>142</v>
      </c>
      <c r="C102" t="s">
        <v>24</v>
      </c>
      <c r="D102">
        <v>0.63106832812074598</v>
      </c>
      <c r="E102">
        <v>10.527993265987</v>
      </c>
    </row>
    <row r="103" spans="1:8" x14ac:dyDescent="0.45">
      <c r="A103" t="s">
        <v>141</v>
      </c>
      <c r="B103" t="s">
        <v>143</v>
      </c>
      <c r="C103" t="s">
        <v>24</v>
      </c>
      <c r="D103">
        <v>784.16801986739495</v>
      </c>
      <c r="E103">
        <v>3.6662725110451002</v>
      </c>
    </row>
    <row r="104" spans="1:8" x14ac:dyDescent="0.45">
      <c r="A104" t="s">
        <v>141</v>
      </c>
      <c r="B104" t="s">
        <v>144</v>
      </c>
      <c r="C104" t="s">
        <v>24</v>
      </c>
      <c r="D104">
        <v>786.704284376337</v>
      </c>
      <c r="E104">
        <v>3.90699567976261</v>
      </c>
    </row>
    <row r="105" spans="1:8" x14ac:dyDescent="0.45">
      <c r="A105" t="s">
        <v>141</v>
      </c>
      <c r="B105" t="s">
        <v>145</v>
      </c>
      <c r="C105" t="s">
        <v>24</v>
      </c>
    </row>
    <row r="106" spans="1:8" x14ac:dyDescent="0.45">
      <c r="A106" t="s">
        <v>141</v>
      </c>
      <c r="B106" t="s">
        <v>146</v>
      </c>
      <c r="C106" t="s">
        <v>24</v>
      </c>
      <c r="D106">
        <v>746.24519060143496</v>
      </c>
      <c r="E106">
        <v>3.7103501713278</v>
      </c>
    </row>
    <row r="107" spans="1:8" x14ac:dyDescent="0.45">
      <c r="A107" t="s">
        <v>141</v>
      </c>
      <c r="B107" t="s">
        <v>147</v>
      </c>
      <c r="C107" t="s">
        <v>24</v>
      </c>
      <c r="D107">
        <v>781.569568104018</v>
      </c>
      <c r="E107">
        <v>3.90014401881644</v>
      </c>
    </row>
    <row r="108" spans="1:8" x14ac:dyDescent="0.45">
      <c r="A108" t="s">
        <v>141</v>
      </c>
      <c r="B108" t="s">
        <v>148</v>
      </c>
      <c r="C108" t="s">
        <v>24</v>
      </c>
      <c r="D108">
        <v>763.41644296190202</v>
      </c>
      <c r="E108">
        <v>3.88640437178208</v>
      </c>
    </row>
    <row r="110" spans="1:8" x14ac:dyDescent="0.45">
      <c r="A110" t="s">
        <v>149</v>
      </c>
    </row>
    <row r="112" spans="1:8" x14ac:dyDescent="0.45">
      <c r="A112" t="s">
        <v>1</v>
      </c>
      <c r="B112" t="s">
        <v>2</v>
      </c>
      <c r="C112" t="s">
        <v>4</v>
      </c>
      <c r="D112" t="s">
        <v>26</v>
      </c>
      <c r="E112" t="s">
        <v>27</v>
      </c>
      <c r="F112" t="s">
        <v>28</v>
      </c>
      <c r="G112" t="s">
        <v>29</v>
      </c>
      <c r="H112" t="s">
        <v>30</v>
      </c>
    </row>
    <row r="113" spans="1:8" x14ac:dyDescent="0.45">
      <c r="A113" t="s">
        <v>141</v>
      </c>
      <c r="B113" t="s">
        <v>142</v>
      </c>
      <c r="C113">
        <v>11.815600832065099</v>
      </c>
      <c r="D113">
        <v>2</v>
      </c>
      <c r="E113">
        <v>16.926773580336398</v>
      </c>
      <c r="F113">
        <v>15.9972189717628</v>
      </c>
      <c r="G113">
        <v>7.5088182603587201</v>
      </c>
      <c r="H113">
        <v>24.485619683166899</v>
      </c>
    </row>
    <row r="114" spans="1:8" x14ac:dyDescent="0.45">
      <c r="A114" t="s">
        <v>141</v>
      </c>
      <c r="B114" t="s">
        <v>143</v>
      </c>
      <c r="C114">
        <v>63387.896521269999</v>
      </c>
      <c r="D114">
        <v>2445</v>
      </c>
      <c r="E114">
        <v>3.8572032425458</v>
      </c>
      <c r="F114">
        <v>3.6823904187098999</v>
      </c>
      <c r="G114">
        <v>3.6798218401761398</v>
      </c>
      <c r="H114">
        <v>3.6849589972436601</v>
      </c>
    </row>
    <row r="115" spans="1:8" x14ac:dyDescent="0.45">
      <c r="A115" t="s">
        <v>141</v>
      </c>
      <c r="B115" t="s">
        <v>144</v>
      </c>
      <c r="C115">
        <v>63533.5341015374</v>
      </c>
      <c r="D115">
        <v>2542</v>
      </c>
      <c r="E115">
        <v>4.0010366744866603</v>
      </c>
      <c r="F115">
        <v>3.8197357617118399</v>
      </c>
      <c r="G115">
        <v>3.8171404629160701</v>
      </c>
      <c r="H115">
        <v>3.8223310605076102</v>
      </c>
    </row>
    <row r="116" spans="1:8" x14ac:dyDescent="0.45">
      <c r="A116" t="s">
        <v>141</v>
      </c>
      <c r="B116" t="s">
        <v>145</v>
      </c>
      <c r="C116">
        <v>15.9131319811358</v>
      </c>
      <c r="D116">
        <v>1</v>
      </c>
      <c r="E116">
        <v>6.2841180553611196</v>
      </c>
      <c r="F116">
        <v>6.0147375646245802</v>
      </c>
      <c r="G116">
        <v>2.6948089834399198</v>
      </c>
      <c r="H116">
        <v>9.3346661458092406</v>
      </c>
    </row>
    <row r="117" spans="1:8" x14ac:dyDescent="0.45">
      <c r="A117" t="s">
        <v>141</v>
      </c>
      <c r="B117" t="s">
        <v>146</v>
      </c>
      <c r="C117">
        <v>63388.231062706502</v>
      </c>
      <c r="D117">
        <v>2515</v>
      </c>
      <c r="E117">
        <v>3.9676134794044802</v>
      </c>
      <c r="F117">
        <v>3.78879493425248</v>
      </c>
      <c r="G117">
        <v>3.7862019668956099</v>
      </c>
      <c r="H117">
        <v>3.7913879016093501</v>
      </c>
    </row>
    <row r="118" spans="1:8" x14ac:dyDescent="0.45">
      <c r="A118" t="s">
        <v>141</v>
      </c>
      <c r="B118" t="s">
        <v>147</v>
      </c>
      <c r="C118">
        <v>63649.641993832702</v>
      </c>
      <c r="D118">
        <v>2542</v>
      </c>
      <c r="E118">
        <v>3.9937380955674602</v>
      </c>
      <c r="F118">
        <v>3.81637465130783</v>
      </c>
      <c r="G118">
        <v>3.8137612532481899</v>
      </c>
      <c r="H118">
        <v>3.8189880493674702</v>
      </c>
    </row>
    <row r="119" spans="1:8" x14ac:dyDescent="0.45">
      <c r="A119" t="s">
        <v>141</v>
      </c>
      <c r="B119" t="s">
        <v>148</v>
      </c>
      <c r="C119">
        <v>63600.447254578903</v>
      </c>
      <c r="D119">
        <v>2803</v>
      </c>
      <c r="E119">
        <v>4.4072017116172004</v>
      </c>
      <c r="F119">
        <v>4.2054024911533299</v>
      </c>
      <c r="G119">
        <v>4.2025351286266703</v>
      </c>
      <c r="H119">
        <v>4.2082698536800001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9"/>
  <sheetViews>
    <sheetView workbookViewId="0"/>
  </sheetViews>
  <sheetFormatPr baseColWidth="10" defaultRowHeight="14.25" x14ac:dyDescent="0.45"/>
  <sheetData>
    <row r="1" spans="1:5" x14ac:dyDescent="0.45">
      <c r="A1" t="s">
        <v>150</v>
      </c>
    </row>
    <row r="3" spans="1:5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45">
      <c r="A4" t="s">
        <v>151</v>
      </c>
      <c r="B4" t="s">
        <v>69</v>
      </c>
      <c r="C4" t="s">
        <v>8</v>
      </c>
      <c r="D4">
        <v>4613.4313572491601</v>
      </c>
      <c r="E4">
        <v>3.3544374947512798</v>
      </c>
    </row>
    <row r="5" spans="1:5" x14ac:dyDescent="0.45">
      <c r="A5" t="s">
        <v>151</v>
      </c>
      <c r="B5" t="s">
        <v>70</v>
      </c>
      <c r="C5" t="s">
        <v>8</v>
      </c>
      <c r="D5">
        <v>515.51221477866204</v>
      </c>
      <c r="E5">
        <v>3.7905032828399898</v>
      </c>
    </row>
    <row r="6" spans="1:5" x14ac:dyDescent="0.45">
      <c r="A6" t="s">
        <v>151</v>
      </c>
      <c r="B6" t="s">
        <v>69</v>
      </c>
      <c r="C6" t="s">
        <v>11</v>
      </c>
      <c r="D6">
        <v>9478.7458333379109</v>
      </c>
      <c r="E6">
        <v>3.2964757899441</v>
      </c>
    </row>
    <row r="7" spans="1:5" x14ac:dyDescent="0.45">
      <c r="A7" t="s">
        <v>151</v>
      </c>
      <c r="B7" t="s">
        <v>70</v>
      </c>
      <c r="C7" t="s">
        <v>11</v>
      </c>
      <c r="D7">
        <v>1026.9362627179</v>
      </c>
      <c r="E7">
        <v>3.7595694117298</v>
      </c>
    </row>
    <row r="8" spans="1:5" x14ac:dyDescent="0.45">
      <c r="A8" t="s">
        <v>151</v>
      </c>
      <c r="B8" t="s">
        <v>69</v>
      </c>
      <c r="C8" t="s">
        <v>12</v>
      </c>
      <c r="D8">
        <v>14498.53881744</v>
      </c>
      <c r="E8">
        <v>3.2920111713019402</v>
      </c>
    </row>
    <row r="9" spans="1:5" x14ac:dyDescent="0.45">
      <c r="A9" t="s">
        <v>151</v>
      </c>
      <c r="B9" t="s">
        <v>70</v>
      </c>
      <c r="C9" t="s">
        <v>12</v>
      </c>
      <c r="D9">
        <v>1589.8990813954399</v>
      </c>
      <c r="E9">
        <v>3.55903753771367</v>
      </c>
    </row>
    <row r="10" spans="1:5" x14ac:dyDescent="0.45">
      <c r="A10" t="s">
        <v>151</v>
      </c>
      <c r="B10" t="s">
        <v>69</v>
      </c>
      <c r="C10" t="s">
        <v>13</v>
      </c>
      <c r="D10">
        <v>19619.4118368409</v>
      </c>
      <c r="E10">
        <v>3.2634532993911098</v>
      </c>
    </row>
    <row r="11" spans="1:5" x14ac:dyDescent="0.45">
      <c r="A11" t="s">
        <v>151</v>
      </c>
      <c r="B11" t="s">
        <v>70</v>
      </c>
      <c r="C11" t="s">
        <v>13</v>
      </c>
      <c r="D11">
        <v>2187.7734923093299</v>
      </c>
      <c r="E11">
        <v>3.6147323160794498</v>
      </c>
    </row>
    <row r="12" spans="1:5" x14ac:dyDescent="0.45">
      <c r="A12" t="s">
        <v>151</v>
      </c>
      <c r="B12" t="s">
        <v>69</v>
      </c>
      <c r="C12" t="s">
        <v>14</v>
      </c>
      <c r="D12">
        <v>24540.0447110184</v>
      </c>
      <c r="E12">
        <v>3.4494936941418</v>
      </c>
    </row>
    <row r="13" spans="1:5" x14ac:dyDescent="0.45">
      <c r="A13" t="s">
        <v>151</v>
      </c>
      <c r="B13" t="s">
        <v>70</v>
      </c>
      <c r="C13" t="s">
        <v>14</v>
      </c>
      <c r="D13">
        <v>2750.92845590055</v>
      </c>
      <c r="E13">
        <v>3.85287875605635</v>
      </c>
    </row>
    <row r="14" spans="1:5" x14ac:dyDescent="0.45">
      <c r="A14" t="s">
        <v>151</v>
      </c>
      <c r="B14" t="s">
        <v>69</v>
      </c>
      <c r="C14" t="s">
        <v>15</v>
      </c>
      <c r="D14">
        <v>25386.1884207283</v>
      </c>
      <c r="E14">
        <v>3.4890766090355201</v>
      </c>
    </row>
    <row r="15" spans="1:5" x14ac:dyDescent="0.45">
      <c r="A15" t="s">
        <v>151</v>
      </c>
      <c r="B15" t="s">
        <v>70</v>
      </c>
      <c r="C15" t="s">
        <v>15</v>
      </c>
      <c r="D15">
        <v>2895.3377678711599</v>
      </c>
      <c r="E15">
        <v>3.8492159482521</v>
      </c>
    </row>
    <row r="16" spans="1:5" x14ac:dyDescent="0.45">
      <c r="A16" t="s">
        <v>151</v>
      </c>
      <c r="B16" t="s">
        <v>69</v>
      </c>
      <c r="C16" t="s">
        <v>16</v>
      </c>
      <c r="D16">
        <v>26589.9528153961</v>
      </c>
      <c r="E16">
        <v>3.5337182200055399</v>
      </c>
    </row>
    <row r="17" spans="1:5" x14ac:dyDescent="0.45">
      <c r="A17" t="s">
        <v>151</v>
      </c>
      <c r="B17" t="s">
        <v>70</v>
      </c>
      <c r="C17" t="s">
        <v>16</v>
      </c>
      <c r="D17">
        <v>3002.28125515682</v>
      </c>
      <c r="E17">
        <v>3.8235508096805502</v>
      </c>
    </row>
    <row r="18" spans="1:5" x14ac:dyDescent="0.45">
      <c r="A18" t="s">
        <v>151</v>
      </c>
      <c r="B18" t="s">
        <v>69</v>
      </c>
      <c r="C18" t="s">
        <v>17</v>
      </c>
      <c r="D18">
        <v>28456.370072239701</v>
      </c>
      <c r="E18">
        <v>3.5464348054888601</v>
      </c>
    </row>
    <row r="19" spans="1:5" x14ac:dyDescent="0.45">
      <c r="A19" t="s">
        <v>151</v>
      </c>
      <c r="B19" t="s">
        <v>70</v>
      </c>
      <c r="C19" t="s">
        <v>17</v>
      </c>
      <c r="D19">
        <v>3198.2969424642502</v>
      </c>
      <c r="E19">
        <v>3.8473567121215302</v>
      </c>
    </row>
    <row r="20" spans="1:5" x14ac:dyDescent="0.45">
      <c r="A20" t="s">
        <v>151</v>
      </c>
      <c r="B20" t="s">
        <v>69</v>
      </c>
      <c r="C20" t="s">
        <v>18</v>
      </c>
      <c r="D20">
        <v>28567.9759682359</v>
      </c>
      <c r="E20">
        <v>4.1456197690161796</v>
      </c>
    </row>
    <row r="21" spans="1:5" x14ac:dyDescent="0.45">
      <c r="A21" t="s">
        <v>151</v>
      </c>
      <c r="B21" t="s">
        <v>70</v>
      </c>
      <c r="C21" t="s">
        <v>18</v>
      </c>
      <c r="D21">
        <v>3211.2464651146602</v>
      </c>
      <c r="E21">
        <v>4.5340344672305299</v>
      </c>
    </row>
    <row r="22" spans="1:5" x14ac:dyDescent="0.45">
      <c r="A22" t="s">
        <v>151</v>
      </c>
      <c r="B22" t="s">
        <v>69</v>
      </c>
      <c r="C22" t="s">
        <v>19</v>
      </c>
      <c r="D22">
        <v>28049.7305033347</v>
      </c>
      <c r="E22">
        <v>4.2198542548049502</v>
      </c>
    </row>
    <row r="23" spans="1:5" x14ac:dyDescent="0.45">
      <c r="A23" t="s">
        <v>151</v>
      </c>
      <c r="B23" t="s">
        <v>70</v>
      </c>
      <c r="C23" t="s">
        <v>19</v>
      </c>
      <c r="D23">
        <v>3157.3737688567699</v>
      </c>
      <c r="E23">
        <v>4.61783447139039</v>
      </c>
    </row>
    <row r="24" spans="1:5" x14ac:dyDescent="0.45">
      <c r="A24" t="s">
        <v>151</v>
      </c>
      <c r="B24" t="s">
        <v>69</v>
      </c>
      <c r="C24" t="s">
        <v>20</v>
      </c>
      <c r="D24">
        <v>26307.998559084499</v>
      </c>
      <c r="E24">
        <v>4.0832599725795404</v>
      </c>
    </row>
    <row r="25" spans="1:5" x14ac:dyDescent="0.45">
      <c r="A25" t="s">
        <v>151</v>
      </c>
      <c r="B25" t="s">
        <v>70</v>
      </c>
      <c r="C25" t="s">
        <v>20</v>
      </c>
      <c r="D25">
        <v>2962.6803374664501</v>
      </c>
      <c r="E25">
        <v>4.5671281816833904</v>
      </c>
    </row>
    <row r="26" spans="1:5" x14ac:dyDescent="0.45">
      <c r="A26" t="s">
        <v>151</v>
      </c>
      <c r="B26" t="s">
        <v>69</v>
      </c>
      <c r="C26" t="s">
        <v>21</v>
      </c>
      <c r="D26">
        <v>21106.734086018401</v>
      </c>
      <c r="E26">
        <v>4.0515232837037702</v>
      </c>
    </row>
    <row r="27" spans="1:5" x14ac:dyDescent="0.45">
      <c r="A27" t="s">
        <v>151</v>
      </c>
      <c r="B27" t="s">
        <v>70</v>
      </c>
      <c r="C27" t="s">
        <v>21</v>
      </c>
      <c r="D27">
        <v>2395.5576824241798</v>
      </c>
      <c r="E27">
        <v>4.4088363852130303</v>
      </c>
    </row>
    <row r="28" spans="1:5" x14ac:dyDescent="0.45">
      <c r="A28" t="s">
        <v>151</v>
      </c>
      <c r="B28" t="s">
        <v>69</v>
      </c>
      <c r="C28" t="s">
        <v>22</v>
      </c>
      <c r="D28">
        <v>15228.7456303705</v>
      </c>
      <c r="E28">
        <v>5.0354493052047999</v>
      </c>
    </row>
    <row r="29" spans="1:5" x14ac:dyDescent="0.45">
      <c r="A29" t="s">
        <v>151</v>
      </c>
      <c r="B29" t="s">
        <v>70</v>
      </c>
      <c r="C29" t="s">
        <v>22</v>
      </c>
      <c r="D29">
        <v>1750.76321912205</v>
      </c>
      <c r="E29">
        <v>5.5964609292907799</v>
      </c>
    </row>
    <row r="30" spans="1:5" x14ac:dyDescent="0.45">
      <c r="A30" t="s">
        <v>151</v>
      </c>
      <c r="B30" t="s">
        <v>69</v>
      </c>
      <c r="C30" t="s">
        <v>23</v>
      </c>
      <c r="D30">
        <v>9554.8389055374191</v>
      </c>
      <c r="E30">
        <v>4.7506167156460801</v>
      </c>
    </row>
    <row r="31" spans="1:5" x14ac:dyDescent="0.45">
      <c r="A31" t="s">
        <v>151</v>
      </c>
      <c r="B31" t="s">
        <v>70</v>
      </c>
      <c r="C31" t="s">
        <v>23</v>
      </c>
      <c r="D31">
        <v>1081.45063008938</v>
      </c>
      <c r="E31">
        <v>5.4127452149440396</v>
      </c>
    </row>
    <row r="32" spans="1:5" x14ac:dyDescent="0.45">
      <c r="A32" t="s">
        <v>151</v>
      </c>
      <c r="B32" t="s">
        <v>69</v>
      </c>
      <c r="C32" t="s">
        <v>24</v>
      </c>
      <c r="D32">
        <v>3474.7394503035998</v>
      </c>
      <c r="E32">
        <v>3.76938312125744</v>
      </c>
    </row>
    <row r="33" spans="1:8" x14ac:dyDescent="0.45">
      <c r="A33" t="s">
        <v>151</v>
      </c>
      <c r="B33" t="s">
        <v>70</v>
      </c>
      <c r="C33" t="s">
        <v>24</v>
      </c>
      <c r="D33">
        <v>387.99512393561201</v>
      </c>
      <c r="E33">
        <v>4.2311186178128199</v>
      </c>
    </row>
    <row r="35" spans="1:8" x14ac:dyDescent="0.45">
      <c r="A35" t="s">
        <v>152</v>
      </c>
    </row>
    <row r="37" spans="1:8" x14ac:dyDescent="0.45">
      <c r="A37" t="s">
        <v>1</v>
      </c>
      <c r="B37" t="s">
        <v>2</v>
      </c>
      <c r="C37" t="s">
        <v>4</v>
      </c>
      <c r="D37" t="s">
        <v>26</v>
      </c>
      <c r="E37" t="s">
        <v>27</v>
      </c>
      <c r="F37" t="s">
        <v>28</v>
      </c>
      <c r="G37" t="s">
        <v>29</v>
      </c>
      <c r="H37" t="s">
        <v>30</v>
      </c>
    </row>
    <row r="38" spans="1:8" x14ac:dyDescent="0.45">
      <c r="A38" t="s">
        <v>151</v>
      </c>
      <c r="B38" t="s">
        <v>69</v>
      </c>
      <c r="C38">
        <v>285473.446967136</v>
      </c>
      <c r="D38">
        <v>11433</v>
      </c>
      <c r="E38">
        <v>4.0049258946721604</v>
      </c>
      <c r="F38">
        <v>3.8234400063696099</v>
      </c>
      <c r="G38">
        <v>3.8221527045760699</v>
      </c>
      <c r="H38">
        <v>3.8247273081631499</v>
      </c>
    </row>
    <row r="39" spans="1:8" x14ac:dyDescent="0.45">
      <c r="A39" t="s">
        <v>151</v>
      </c>
      <c r="B39" t="s">
        <v>70</v>
      </c>
      <c r="C39">
        <v>32114.032699603202</v>
      </c>
      <c r="D39">
        <v>1417</v>
      </c>
      <c r="E39">
        <v>4.4124013114600498</v>
      </c>
      <c r="F39">
        <v>4.2173400290530196</v>
      </c>
      <c r="G39">
        <v>4.2129983130301802</v>
      </c>
      <c r="H39">
        <v>4.2216817450758599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9"/>
  <sheetViews>
    <sheetView workbookViewId="0"/>
  </sheetViews>
  <sheetFormatPr baseColWidth="10" defaultRowHeight="14.25" x14ac:dyDescent="0.45"/>
  <sheetData>
    <row r="1" spans="1:5" x14ac:dyDescent="0.45">
      <c r="A1" t="s">
        <v>153</v>
      </c>
    </row>
    <row r="3" spans="1:5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45">
      <c r="A4" t="s">
        <v>154</v>
      </c>
      <c r="B4" t="s">
        <v>69</v>
      </c>
      <c r="C4" t="s">
        <v>8</v>
      </c>
      <c r="D4">
        <v>5074.5449496412502</v>
      </c>
      <c r="E4">
        <v>3.3864270598244799</v>
      </c>
    </row>
    <row r="5" spans="1:5" x14ac:dyDescent="0.45">
      <c r="A5" t="s">
        <v>154</v>
      </c>
      <c r="B5" t="s">
        <v>70</v>
      </c>
      <c r="C5" t="s">
        <v>8</v>
      </c>
      <c r="D5">
        <v>54.398622386574303</v>
      </c>
      <c r="E5">
        <v>4.5027157338487802</v>
      </c>
    </row>
    <row r="6" spans="1:5" x14ac:dyDescent="0.45">
      <c r="A6" t="s">
        <v>154</v>
      </c>
      <c r="B6" t="s">
        <v>69</v>
      </c>
      <c r="C6" t="s">
        <v>11</v>
      </c>
      <c r="D6">
        <v>10390.728263339601</v>
      </c>
      <c r="E6">
        <v>3.33270905525477</v>
      </c>
    </row>
    <row r="7" spans="1:5" x14ac:dyDescent="0.45">
      <c r="A7" t="s">
        <v>154</v>
      </c>
      <c r="B7" t="s">
        <v>70</v>
      </c>
      <c r="C7" t="s">
        <v>11</v>
      </c>
      <c r="D7">
        <v>114.95383271623901</v>
      </c>
      <c r="E7">
        <v>4.1583663156216897</v>
      </c>
    </row>
    <row r="8" spans="1:5" x14ac:dyDescent="0.45">
      <c r="A8" t="s">
        <v>154</v>
      </c>
      <c r="B8" t="s">
        <v>69</v>
      </c>
      <c r="C8" t="s">
        <v>12</v>
      </c>
      <c r="D8">
        <v>15931.833260264</v>
      </c>
      <c r="E8">
        <v>3.3062953083719302</v>
      </c>
    </row>
    <row r="9" spans="1:5" x14ac:dyDescent="0.45">
      <c r="A9" t="s">
        <v>154</v>
      </c>
      <c r="B9" t="s">
        <v>70</v>
      </c>
      <c r="C9" t="s">
        <v>12</v>
      </c>
      <c r="D9">
        <v>156.60463857142</v>
      </c>
      <c r="E9">
        <v>4.5497803306160796</v>
      </c>
    </row>
    <row r="10" spans="1:5" x14ac:dyDescent="0.45">
      <c r="A10" t="s">
        <v>154</v>
      </c>
      <c r="B10" t="s">
        <v>69</v>
      </c>
      <c r="C10" t="s">
        <v>13</v>
      </c>
      <c r="D10">
        <v>21576.863328210002</v>
      </c>
      <c r="E10">
        <v>3.2911394392092701</v>
      </c>
    </row>
    <row r="11" spans="1:5" x14ac:dyDescent="0.45">
      <c r="A11" t="s">
        <v>154</v>
      </c>
      <c r="B11" t="s">
        <v>70</v>
      </c>
      <c r="C11" t="s">
        <v>13</v>
      </c>
      <c r="D11">
        <v>230.32200094022801</v>
      </c>
      <c r="E11">
        <v>4.00649506472128</v>
      </c>
    </row>
    <row r="12" spans="1:5" x14ac:dyDescent="0.45">
      <c r="A12" t="s">
        <v>154</v>
      </c>
      <c r="B12" t="s">
        <v>69</v>
      </c>
      <c r="C12" t="s">
        <v>14</v>
      </c>
      <c r="D12">
        <v>27025.485221039999</v>
      </c>
      <c r="E12">
        <v>3.4823103297712699</v>
      </c>
    </row>
    <row r="13" spans="1:5" x14ac:dyDescent="0.45">
      <c r="A13" t="s">
        <v>154</v>
      </c>
      <c r="B13" t="s">
        <v>70</v>
      </c>
      <c r="C13" t="s">
        <v>14</v>
      </c>
      <c r="D13">
        <v>265.487945879037</v>
      </c>
      <c r="E13">
        <v>4.28869542723685</v>
      </c>
    </row>
    <row r="14" spans="1:5" x14ac:dyDescent="0.45">
      <c r="A14" t="s">
        <v>154</v>
      </c>
      <c r="B14" t="s">
        <v>69</v>
      </c>
      <c r="C14" t="s">
        <v>15</v>
      </c>
      <c r="D14">
        <v>28006.521075659799</v>
      </c>
      <c r="E14">
        <v>3.5171374911324098</v>
      </c>
    </row>
    <row r="15" spans="1:5" x14ac:dyDescent="0.45">
      <c r="A15" t="s">
        <v>154</v>
      </c>
      <c r="B15" t="s">
        <v>70</v>
      </c>
      <c r="C15" t="s">
        <v>15</v>
      </c>
      <c r="D15">
        <v>275.00511293966298</v>
      </c>
      <c r="E15">
        <v>4.4230132254722898</v>
      </c>
    </row>
    <row r="16" spans="1:5" x14ac:dyDescent="0.45">
      <c r="A16" t="s">
        <v>154</v>
      </c>
      <c r="B16" t="s">
        <v>69</v>
      </c>
      <c r="C16" t="s">
        <v>16</v>
      </c>
      <c r="D16">
        <v>29293.4620805901</v>
      </c>
      <c r="E16">
        <v>3.55408951344763</v>
      </c>
    </row>
    <row r="17" spans="1:5" x14ac:dyDescent="0.45">
      <c r="A17" t="s">
        <v>154</v>
      </c>
      <c r="B17" t="s">
        <v>70</v>
      </c>
      <c r="C17" t="s">
        <v>16</v>
      </c>
      <c r="D17">
        <v>298.771989962899</v>
      </c>
      <c r="E17">
        <v>4.4488416195265801</v>
      </c>
    </row>
    <row r="18" spans="1:5" x14ac:dyDescent="0.45">
      <c r="A18" t="s">
        <v>154</v>
      </c>
      <c r="B18" t="s">
        <v>69</v>
      </c>
      <c r="C18" t="s">
        <v>17</v>
      </c>
      <c r="D18">
        <v>31333.461960395802</v>
      </c>
      <c r="E18">
        <v>3.56947966865682</v>
      </c>
    </row>
    <row r="19" spans="1:5" x14ac:dyDescent="0.45">
      <c r="A19" t="s">
        <v>154</v>
      </c>
      <c r="B19" t="s">
        <v>70</v>
      </c>
      <c r="C19" t="s">
        <v>17</v>
      </c>
      <c r="D19">
        <v>321.20505430817599</v>
      </c>
      <c r="E19">
        <v>4.2947489033659503</v>
      </c>
    </row>
    <row r="20" spans="1:5" x14ac:dyDescent="0.45">
      <c r="A20" t="s">
        <v>154</v>
      </c>
      <c r="B20" t="s">
        <v>69</v>
      </c>
      <c r="C20" t="s">
        <v>18</v>
      </c>
      <c r="D20">
        <v>31440.441432027299</v>
      </c>
      <c r="E20">
        <v>4.17390853556895</v>
      </c>
    </row>
    <row r="21" spans="1:5" x14ac:dyDescent="0.45">
      <c r="A21" t="s">
        <v>154</v>
      </c>
      <c r="B21" t="s">
        <v>70</v>
      </c>
      <c r="C21" t="s">
        <v>18</v>
      </c>
      <c r="D21">
        <v>338.78100132322902</v>
      </c>
      <c r="E21">
        <v>5.2020072796944898</v>
      </c>
    </row>
    <row r="22" spans="1:5" x14ac:dyDescent="0.45">
      <c r="A22" t="s">
        <v>154</v>
      </c>
      <c r="B22" t="s">
        <v>69</v>
      </c>
      <c r="C22" t="s">
        <v>19</v>
      </c>
      <c r="D22">
        <v>30881.5268171629</v>
      </c>
      <c r="E22">
        <v>4.2460013320624297</v>
      </c>
    </row>
    <row r="23" spans="1:5" x14ac:dyDescent="0.45">
      <c r="A23" t="s">
        <v>154</v>
      </c>
      <c r="B23" t="s">
        <v>70</v>
      </c>
      <c r="C23" t="s">
        <v>19</v>
      </c>
      <c r="D23">
        <v>325.577455028538</v>
      </c>
      <c r="E23">
        <v>5.5992821664037598</v>
      </c>
    </row>
    <row r="24" spans="1:5" x14ac:dyDescent="0.45">
      <c r="A24" t="s">
        <v>154</v>
      </c>
      <c r="B24" t="s">
        <v>69</v>
      </c>
      <c r="C24" t="s">
        <v>20</v>
      </c>
      <c r="D24">
        <v>28995.4239435292</v>
      </c>
      <c r="E24">
        <v>4.1217174127836902</v>
      </c>
    </row>
    <row r="25" spans="1:5" x14ac:dyDescent="0.45">
      <c r="A25" t="s">
        <v>154</v>
      </c>
      <c r="B25" t="s">
        <v>70</v>
      </c>
      <c r="C25" t="s">
        <v>20</v>
      </c>
      <c r="D25">
        <v>275.25495302169799</v>
      </c>
      <c r="E25">
        <v>5.24021298301213</v>
      </c>
    </row>
    <row r="26" spans="1:5" x14ac:dyDescent="0.45">
      <c r="A26" t="s">
        <v>154</v>
      </c>
      <c r="B26" t="s">
        <v>69</v>
      </c>
      <c r="C26" t="s">
        <v>21</v>
      </c>
      <c r="D26">
        <v>23259.936562037401</v>
      </c>
      <c r="E26">
        <v>4.0771753916184696</v>
      </c>
    </row>
    <row r="27" spans="1:5" x14ac:dyDescent="0.45">
      <c r="A27" t="s">
        <v>154</v>
      </c>
      <c r="B27" t="s">
        <v>70</v>
      </c>
      <c r="C27" t="s">
        <v>21</v>
      </c>
      <c r="D27">
        <v>242.355206405183</v>
      </c>
      <c r="E27">
        <v>5.1214311533098202</v>
      </c>
    </row>
    <row r="28" spans="1:5" x14ac:dyDescent="0.45">
      <c r="A28" t="s">
        <v>154</v>
      </c>
      <c r="B28" t="s">
        <v>69</v>
      </c>
      <c r="C28" t="s">
        <v>22</v>
      </c>
      <c r="D28">
        <v>16805.5345037521</v>
      </c>
      <c r="E28">
        <v>5.0779623429737502</v>
      </c>
    </row>
    <row r="29" spans="1:5" x14ac:dyDescent="0.45">
      <c r="A29" t="s">
        <v>154</v>
      </c>
      <c r="B29" t="s">
        <v>70</v>
      </c>
      <c r="C29" t="s">
        <v>22</v>
      </c>
      <c r="D29">
        <v>173.97434574040099</v>
      </c>
      <c r="E29">
        <v>6.5744359455900403</v>
      </c>
    </row>
    <row r="30" spans="1:5" x14ac:dyDescent="0.45">
      <c r="A30" t="s">
        <v>154</v>
      </c>
      <c r="B30" t="s">
        <v>69</v>
      </c>
      <c r="C30" t="s">
        <v>23</v>
      </c>
      <c r="D30">
        <v>10537.6769304556</v>
      </c>
      <c r="E30">
        <v>4.7993065404848503</v>
      </c>
    </row>
    <row r="31" spans="1:5" x14ac:dyDescent="0.45">
      <c r="A31" t="s">
        <v>154</v>
      </c>
      <c r="B31" t="s">
        <v>70</v>
      </c>
      <c r="C31" t="s">
        <v>23</v>
      </c>
      <c r="D31">
        <v>98.612605171201295</v>
      </c>
      <c r="E31">
        <v>6.8089908805116002</v>
      </c>
    </row>
    <row r="32" spans="1:5" x14ac:dyDescent="0.45">
      <c r="A32" t="s">
        <v>154</v>
      </c>
      <c r="B32" t="s">
        <v>69</v>
      </c>
      <c r="C32" t="s">
        <v>24</v>
      </c>
      <c r="D32">
        <v>3830.6566792420999</v>
      </c>
      <c r="E32">
        <v>3.81383208845538</v>
      </c>
    </row>
    <row r="33" spans="1:8" x14ac:dyDescent="0.45">
      <c r="A33" t="s">
        <v>154</v>
      </c>
      <c r="B33" t="s">
        <v>70</v>
      </c>
      <c r="C33" t="s">
        <v>24</v>
      </c>
      <c r="D33">
        <v>32.077894997107798</v>
      </c>
      <c r="E33">
        <v>4.0462837137085197</v>
      </c>
    </row>
    <row r="35" spans="1:8" x14ac:dyDescent="0.45">
      <c r="A35" t="s">
        <v>155</v>
      </c>
    </row>
    <row r="37" spans="1:8" x14ac:dyDescent="0.45">
      <c r="A37" t="s">
        <v>1</v>
      </c>
      <c r="B37" t="s">
        <v>2</v>
      </c>
      <c r="C37" t="s">
        <v>4</v>
      </c>
      <c r="D37" t="s">
        <v>26</v>
      </c>
      <c r="E37" t="s">
        <v>27</v>
      </c>
      <c r="F37" t="s">
        <v>28</v>
      </c>
      <c r="G37" t="s">
        <v>29</v>
      </c>
      <c r="H37" t="s">
        <v>30</v>
      </c>
    </row>
    <row r="38" spans="1:8" x14ac:dyDescent="0.45">
      <c r="A38" t="s">
        <v>154</v>
      </c>
      <c r="B38" t="s">
        <v>69</v>
      </c>
      <c r="C38">
        <v>314384.09700734698</v>
      </c>
      <c r="D38">
        <v>12686</v>
      </c>
      <c r="E38">
        <v>4.0351913855564803</v>
      </c>
      <c r="F38">
        <v>3.8529001213017602</v>
      </c>
      <c r="G38">
        <v>3.8516700505722601</v>
      </c>
      <c r="H38">
        <v>3.8541301920312598</v>
      </c>
    </row>
    <row r="39" spans="1:8" x14ac:dyDescent="0.45">
      <c r="A39" t="s">
        <v>154</v>
      </c>
      <c r="B39" t="s">
        <v>70</v>
      </c>
      <c r="C39">
        <v>3203.3826593915901</v>
      </c>
      <c r="D39">
        <v>164</v>
      </c>
      <c r="E39">
        <v>5.1195881803002496</v>
      </c>
      <c r="F39">
        <v>4.8810490835183904</v>
      </c>
      <c r="G39">
        <v>4.8591043075236398</v>
      </c>
      <c r="H39">
        <v>4.9029938595131304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9"/>
  <sheetViews>
    <sheetView workbookViewId="0"/>
  </sheetViews>
  <sheetFormatPr baseColWidth="10" defaultRowHeight="14.25" x14ac:dyDescent="0.45"/>
  <sheetData>
    <row r="1" spans="1:5" x14ac:dyDescent="0.45">
      <c r="A1" t="s">
        <v>156</v>
      </c>
    </row>
    <row r="3" spans="1:5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45">
      <c r="A4" t="s">
        <v>157</v>
      </c>
      <c r="B4" t="s">
        <v>69</v>
      </c>
      <c r="C4" t="s">
        <v>8</v>
      </c>
      <c r="D4">
        <v>5034.8317407648601</v>
      </c>
      <c r="E4">
        <v>3.3901490133976</v>
      </c>
    </row>
    <row r="5" spans="1:5" x14ac:dyDescent="0.45">
      <c r="A5" t="s">
        <v>157</v>
      </c>
      <c r="B5" t="s">
        <v>70</v>
      </c>
      <c r="C5" t="s">
        <v>8</v>
      </c>
      <c r="D5">
        <v>94.111831262961502</v>
      </c>
      <c r="E5">
        <v>3.8325469100246798</v>
      </c>
    </row>
    <row r="6" spans="1:5" x14ac:dyDescent="0.45">
      <c r="A6" t="s">
        <v>157</v>
      </c>
      <c r="B6" t="s">
        <v>69</v>
      </c>
      <c r="C6" t="s">
        <v>11</v>
      </c>
      <c r="D6">
        <v>10315.9096760556</v>
      </c>
      <c r="E6">
        <v>3.32924209974987</v>
      </c>
    </row>
    <row r="7" spans="1:5" x14ac:dyDescent="0.45">
      <c r="A7" t="s">
        <v>157</v>
      </c>
      <c r="B7" t="s">
        <v>70</v>
      </c>
      <c r="C7" t="s">
        <v>11</v>
      </c>
      <c r="D7">
        <v>189.77242000023401</v>
      </c>
      <c r="E7">
        <v>4.0213089394132204</v>
      </c>
    </row>
    <row r="8" spans="1:5" x14ac:dyDescent="0.45">
      <c r="A8" t="s">
        <v>157</v>
      </c>
      <c r="B8" t="s">
        <v>69</v>
      </c>
      <c r="C8" t="s">
        <v>12</v>
      </c>
      <c r="D8">
        <v>15775.287311915199</v>
      </c>
      <c r="E8">
        <v>3.3074422012136102</v>
      </c>
    </row>
    <row r="9" spans="1:5" x14ac:dyDescent="0.45">
      <c r="A9" t="s">
        <v>157</v>
      </c>
      <c r="B9" t="s">
        <v>70</v>
      </c>
      <c r="C9" t="s">
        <v>12</v>
      </c>
      <c r="D9">
        <v>313.15058692028299</v>
      </c>
      <c r="E9">
        <v>3.8703784228923901</v>
      </c>
    </row>
    <row r="10" spans="1:5" x14ac:dyDescent="0.45">
      <c r="A10" t="s">
        <v>157</v>
      </c>
      <c r="B10" t="s">
        <v>69</v>
      </c>
      <c r="C10" t="s">
        <v>13</v>
      </c>
      <c r="D10">
        <v>21372.3504365601</v>
      </c>
      <c r="E10">
        <v>3.2879747306426199</v>
      </c>
    </row>
    <row r="11" spans="1:5" x14ac:dyDescent="0.45">
      <c r="A11" t="s">
        <v>157</v>
      </c>
      <c r="B11" t="s">
        <v>70</v>
      </c>
      <c r="C11" t="s">
        <v>13</v>
      </c>
      <c r="D11">
        <v>434.83489259013697</v>
      </c>
      <c r="E11">
        <v>3.8255937884992099</v>
      </c>
    </row>
    <row r="12" spans="1:5" x14ac:dyDescent="0.45">
      <c r="A12" t="s">
        <v>157</v>
      </c>
      <c r="B12" t="s">
        <v>69</v>
      </c>
      <c r="C12" t="s">
        <v>14</v>
      </c>
      <c r="D12">
        <v>26706.378935468601</v>
      </c>
      <c r="E12">
        <v>3.4777232746749398</v>
      </c>
    </row>
    <row r="13" spans="1:5" x14ac:dyDescent="0.45">
      <c r="A13" t="s">
        <v>157</v>
      </c>
      <c r="B13" t="s">
        <v>70</v>
      </c>
      <c r="C13" t="s">
        <v>14</v>
      </c>
      <c r="D13">
        <v>584.59423145037601</v>
      </c>
      <c r="E13">
        <v>4.0580757694661198</v>
      </c>
    </row>
    <row r="14" spans="1:5" x14ac:dyDescent="0.45">
      <c r="A14" t="s">
        <v>157</v>
      </c>
      <c r="B14" t="s">
        <v>69</v>
      </c>
      <c r="C14" t="s">
        <v>15</v>
      </c>
      <c r="D14">
        <v>27692.827882264599</v>
      </c>
      <c r="E14">
        <v>3.5161148266150799</v>
      </c>
    </row>
    <row r="15" spans="1:5" x14ac:dyDescent="0.45">
      <c r="A15" t="s">
        <v>157</v>
      </c>
      <c r="B15" t="s">
        <v>70</v>
      </c>
      <c r="C15" t="s">
        <v>15</v>
      </c>
      <c r="D15">
        <v>588.69830633494496</v>
      </c>
      <c r="E15">
        <v>3.98841612078991</v>
      </c>
    </row>
    <row r="16" spans="1:5" x14ac:dyDescent="0.45">
      <c r="A16" t="s">
        <v>157</v>
      </c>
      <c r="B16" t="s">
        <v>69</v>
      </c>
      <c r="C16" t="s">
        <v>16</v>
      </c>
      <c r="D16">
        <v>29025.410853810499</v>
      </c>
      <c r="E16">
        <v>3.5500788142158699</v>
      </c>
    </row>
    <row r="17" spans="1:5" x14ac:dyDescent="0.45">
      <c r="A17" t="s">
        <v>157</v>
      </c>
      <c r="B17" t="s">
        <v>70</v>
      </c>
      <c r="C17" t="s">
        <v>16</v>
      </c>
      <c r="D17">
        <v>566.82321674247498</v>
      </c>
      <c r="E17">
        <v>4.2310890592229899</v>
      </c>
    </row>
    <row r="18" spans="1:5" x14ac:dyDescent="0.45">
      <c r="A18" t="s">
        <v>157</v>
      </c>
      <c r="B18" t="s">
        <v>69</v>
      </c>
      <c r="C18" t="s">
        <v>17</v>
      </c>
      <c r="D18">
        <v>31008.900306331201</v>
      </c>
      <c r="E18">
        <v>3.5636775410172299</v>
      </c>
    </row>
    <row r="19" spans="1:5" x14ac:dyDescent="0.45">
      <c r="A19" t="s">
        <v>157</v>
      </c>
      <c r="B19" t="s">
        <v>70</v>
      </c>
      <c r="C19" t="s">
        <v>17</v>
      </c>
      <c r="D19">
        <v>645.76670837279596</v>
      </c>
      <c r="E19">
        <v>4.2088401933015698</v>
      </c>
    </row>
    <row r="20" spans="1:5" x14ac:dyDescent="0.45">
      <c r="A20" t="s">
        <v>157</v>
      </c>
      <c r="B20" t="s">
        <v>69</v>
      </c>
      <c r="C20" t="s">
        <v>18</v>
      </c>
      <c r="D20">
        <v>31128.5724543861</v>
      </c>
      <c r="E20">
        <v>4.1718200506976997</v>
      </c>
    </row>
    <row r="21" spans="1:5" x14ac:dyDescent="0.45">
      <c r="A21" t="s">
        <v>157</v>
      </c>
      <c r="B21" t="s">
        <v>70</v>
      </c>
      <c r="C21" t="s">
        <v>18</v>
      </c>
      <c r="D21">
        <v>650.64997896441002</v>
      </c>
      <c r="E21">
        <v>4.8091377494180199</v>
      </c>
    </row>
    <row r="22" spans="1:5" x14ac:dyDescent="0.45">
      <c r="A22" t="s">
        <v>157</v>
      </c>
      <c r="B22" t="s">
        <v>69</v>
      </c>
      <c r="C22" t="s">
        <v>19</v>
      </c>
      <c r="D22">
        <v>30558.1507683368</v>
      </c>
      <c r="E22">
        <v>4.2486396524132397</v>
      </c>
    </row>
    <row r="23" spans="1:5" x14ac:dyDescent="0.45">
      <c r="A23" t="s">
        <v>157</v>
      </c>
      <c r="B23" t="s">
        <v>70</v>
      </c>
      <c r="C23" t="s">
        <v>19</v>
      </c>
      <c r="D23">
        <v>648.953503854622</v>
      </c>
      <c r="E23">
        <v>4.8007029197577502</v>
      </c>
    </row>
    <row r="24" spans="1:5" x14ac:dyDescent="0.45">
      <c r="A24" t="s">
        <v>157</v>
      </c>
      <c r="B24" t="s">
        <v>69</v>
      </c>
      <c r="C24" t="s">
        <v>20</v>
      </c>
      <c r="D24">
        <v>28671.149041083801</v>
      </c>
      <c r="E24">
        <v>4.1170699342104804</v>
      </c>
    </row>
    <row r="25" spans="1:5" x14ac:dyDescent="0.45">
      <c r="A25" t="s">
        <v>157</v>
      </c>
      <c r="B25" t="s">
        <v>70</v>
      </c>
      <c r="C25" t="s">
        <v>20</v>
      </c>
      <c r="D25">
        <v>599.52985546710704</v>
      </c>
      <c r="E25">
        <v>4.8574939424317698</v>
      </c>
    </row>
    <row r="26" spans="1:5" x14ac:dyDescent="0.45">
      <c r="A26" t="s">
        <v>157</v>
      </c>
      <c r="B26" t="s">
        <v>69</v>
      </c>
      <c r="C26" t="s">
        <v>21</v>
      </c>
      <c r="D26">
        <v>23001.224106392401</v>
      </c>
      <c r="E26">
        <v>4.0760756244377001</v>
      </c>
    </row>
    <row r="27" spans="1:5" x14ac:dyDescent="0.45">
      <c r="A27" t="s">
        <v>157</v>
      </c>
      <c r="B27" t="s">
        <v>70</v>
      </c>
      <c r="C27" t="s">
        <v>21</v>
      </c>
      <c r="D27">
        <v>501.06766205021898</v>
      </c>
      <c r="E27">
        <v>4.6327426994647798</v>
      </c>
    </row>
    <row r="28" spans="1:5" x14ac:dyDescent="0.45">
      <c r="A28" t="s">
        <v>157</v>
      </c>
      <c r="B28" t="s">
        <v>69</v>
      </c>
      <c r="C28" t="s">
        <v>22</v>
      </c>
      <c r="D28">
        <v>16649.262818053201</v>
      </c>
      <c r="E28">
        <v>5.0856664914857097</v>
      </c>
    </row>
    <row r="29" spans="1:5" x14ac:dyDescent="0.45">
      <c r="A29" t="s">
        <v>157</v>
      </c>
      <c r="B29" t="s">
        <v>70</v>
      </c>
      <c r="C29" t="s">
        <v>22</v>
      </c>
      <c r="D29">
        <v>330.24603143931398</v>
      </c>
      <c r="E29">
        <v>5.47790544597619</v>
      </c>
    </row>
    <row r="30" spans="1:5" x14ac:dyDescent="0.45">
      <c r="A30" t="s">
        <v>157</v>
      </c>
      <c r="B30" t="s">
        <v>69</v>
      </c>
      <c r="C30" t="s">
        <v>23</v>
      </c>
      <c r="D30">
        <v>10429.118315518999</v>
      </c>
      <c r="E30">
        <v>4.8101109890822196</v>
      </c>
    </row>
    <row r="31" spans="1:5" x14ac:dyDescent="0.45">
      <c r="A31" t="s">
        <v>157</v>
      </c>
      <c r="B31" t="s">
        <v>70</v>
      </c>
      <c r="C31" t="s">
        <v>23</v>
      </c>
      <c r="D31">
        <v>207.17122010778201</v>
      </c>
      <c r="E31">
        <v>5.2120054450018598</v>
      </c>
    </row>
    <row r="32" spans="1:5" x14ac:dyDescent="0.45">
      <c r="A32" t="s">
        <v>157</v>
      </c>
      <c r="B32" t="s">
        <v>69</v>
      </c>
      <c r="C32" t="s">
        <v>24</v>
      </c>
      <c r="D32">
        <v>3774.8132871990001</v>
      </c>
      <c r="E32">
        <v>3.8109673665431898</v>
      </c>
    </row>
    <row r="33" spans="1:8" x14ac:dyDescent="0.45">
      <c r="A33" t="s">
        <v>157</v>
      </c>
      <c r="B33" t="s">
        <v>70</v>
      </c>
      <c r="C33" t="s">
        <v>24</v>
      </c>
      <c r="D33">
        <v>87.921287040212206</v>
      </c>
      <c r="E33">
        <v>4.0216355656349103</v>
      </c>
    </row>
    <row r="35" spans="1:8" x14ac:dyDescent="0.45">
      <c r="A35" t="s">
        <v>158</v>
      </c>
    </row>
    <row r="37" spans="1:8" x14ac:dyDescent="0.45">
      <c r="A37" t="s">
        <v>1</v>
      </c>
      <c r="B37" t="s">
        <v>2</v>
      </c>
      <c r="C37" t="s">
        <v>4</v>
      </c>
      <c r="D37" t="s">
        <v>26</v>
      </c>
      <c r="E37" t="s">
        <v>27</v>
      </c>
      <c r="F37" t="s">
        <v>28</v>
      </c>
      <c r="G37" t="s">
        <v>29</v>
      </c>
      <c r="H37" t="s">
        <v>30</v>
      </c>
    </row>
    <row r="38" spans="1:8" x14ac:dyDescent="0.45">
      <c r="A38" t="s">
        <v>157</v>
      </c>
      <c r="B38" t="s">
        <v>69</v>
      </c>
      <c r="C38">
        <v>311144.18793414102</v>
      </c>
      <c r="D38">
        <v>12550</v>
      </c>
      <c r="E38">
        <v>4.0334997363526002</v>
      </c>
      <c r="F38">
        <v>3.8514944055129998</v>
      </c>
      <c r="G38">
        <v>3.8502565367205599</v>
      </c>
      <c r="H38">
        <v>3.8527322743054402</v>
      </c>
    </row>
    <row r="39" spans="1:8" x14ac:dyDescent="0.45">
      <c r="A39" t="s">
        <v>157</v>
      </c>
      <c r="B39" t="s">
        <v>70</v>
      </c>
      <c r="C39">
        <v>6443.2917325978697</v>
      </c>
      <c r="D39">
        <v>300</v>
      </c>
      <c r="E39">
        <v>4.6560052291632497</v>
      </c>
      <c r="F39">
        <v>4.4319418610261998</v>
      </c>
      <c r="G39">
        <v>4.4197756294777797</v>
      </c>
      <c r="H39">
        <v>4.4441080925746101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9"/>
  <sheetViews>
    <sheetView workbookViewId="0"/>
  </sheetViews>
  <sheetFormatPr baseColWidth="10" defaultRowHeight="14.25" x14ac:dyDescent="0.45"/>
  <sheetData>
    <row r="1" spans="1:5" x14ac:dyDescent="0.45">
      <c r="A1" t="s">
        <v>159</v>
      </c>
    </row>
    <row r="3" spans="1:5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45">
      <c r="A4" t="s">
        <v>160</v>
      </c>
      <c r="B4" t="s">
        <v>69</v>
      </c>
      <c r="C4" t="s">
        <v>8</v>
      </c>
      <c r="D4">
        <v>4848.7519675490903</v>
      </c>
      <c r="E4">
        <v>3.3839542780849698</v>
      </c>
    </row>
    <row r="5" spans="1:5" x14ac:dyDescent="0.45">
      <c r="A5" t="s">
        <v>160</v>
      </c>
      <c r="B5" t="s">
        <v>70</v>
      </c>
      <c r="C5" t="s">
        <v>8</v>
      </c>
      <c r="D5">
        <v>280.19160447873202</v>
      </c>
      <c r="E5">
        <v>3.6459440125637399</v>
      </c>
    </row>
    <row r="6" spans="1:5" x14ac:dyDescent="0.45">
      <c r="A6" t="s">
        <v>160</v>
      </c>
      <c r="B6" t="s">
        <v>69</v>
      </c>
      <c r="C6" t="s">
        <v>11</v>
      </c>
      <c r="D6">
        <v>9968.1146442463396</v>
      </c>
      <c r="E6">
        <v>3.3246381012981998</v>
      </c>
    </row>
    <row r="7" spans="1:5" x14ac:dyDescent="0.45">
      <c r="A7" t="s">
        <v>160</v>
      </c>
      <c r="B7" t="s">
        <v>70</v>
      </c>
      <c r="C7" t="s">
        <v>11</v>
      </c>
      <c r="D7">
        <v>537.56745180945802</v>
      </c>
      <c r="E7">
        <v>3.6589279517419699</v>
      </c>
    </row>
    <row r="8" spans="1:5" x14ac:dyDescent="0.45">
      <c r="A8" t="s">
        <v>160</v>
      </c>
      <c r="B8" t="s">
        <v>69</v>
      </c>
      <c r="C8" t="s">
        <v>12</v>
      </c>
      <c r="D8">
        <v>15274.296193268799</v>
      </c>
      <c r="E8">
        <v>3.3088697903376598</v>
      </c>
    </row>
    <row r="9" spans="1:5" x14ac:dyDescent="0.45">
      <c r="A9" t="s">
        <v>160</v>
      </c>
      <c r="B9" t="s">
        <v>70</v>
      </c>
      <c r="C9" t="s">
        <v>12</v>
      </c>
      <c r="D9">
        <v>814.14170556660997</v>
      </c>
      <c r="E9">
        <v>3.49718606034555</v>
      </c>
    </row>
    <row r="10" spans="1:5" x14ac:dyDescent="0.45">
      <c r="A10" t="s">
        <v>160</v>
      </c>
      <c r="B10" t="s">
        <v>69</v>
      </c>
      <c r="C10" t="s">
        <v>13</v>
      </c>
      <c r="D10">
        <v>20750.204373029901</v>
      </c>
      <c r="E10">
        <v>3.29043000007918</v>
      </c>
    </row>
    <row r="11" spans="1:5" x14ac:dyDescent="0.45">
      <c r="A11" t="s">
        <v>160</v>
      </c>
      <c r="B11" t="s">
        <v>70</v>
      </c>
      <c r="C11" t="s">
        <v>13</v>
      </c>
      <c r="D11">
        <v>1056.9809561203499</v>
      </c>
      <c r="E11">
        <v>3.4609467994575698</v>
      </c>
    </row>
    <row r="12" spans="1:5" x14ac:dyDescent="0.45">
      <c r="A12" t="s">
        <v>160</v>
      </c>
      <c r="B12" t="s">
        <v>69</v>
      </c>
      <c r="C12" t="s">
        <v>14</v>
      </c>
      <c r="D12">
        <v>25961.891362191502</v>
      </c>
      <c r="E12">
        <v>3.48024691091342</v>
      </c>
    </row>
    <row r="13" spans="1:5" x14ac:dyDescent="0.45">
      <c r="A13" t="s">
        <v>160</v>
      </c>
      <c r="B13" t="s">
        <v>70</v>
      </c>
      <c r="C13" t="s">
        <v>14</v>
      </c>
      <c r="D13">
        <v>1329.0818047274599</v>
      </c>
      <c r="E13">
        <v>3.6836943065767498</v>
      </c>
    </row>
    <row r="14" spans="1:5" x14ac:dyDescent="0.45">
      <c r="A14" t="s">
        <v>160</v>
      </c>
      <c r="B14" t="s">
        <v>69</v>
      </c>
      <c r="C14" t="s">
        <v>15</v>
      </c>
      <c r="D14">
        <v>26898.405644823</v>
      </c>
      <c r="E14">
        <v>3.5154185100780002</v>
      </c>
    </row>
    <row r="15" spans="1:5" x14ac:dyDescent="0.45">
      <c r="A15" t="s">
        <v>160</v>
      </c>
      <c r="B15" t="s">
        <v>70</v>
      </c>
      <c r="C15" t="s">
        <v>15</v>
      </c>
      <c r="D15">
        <v>1383.12054377652</v>
      </c>
      <c r="E15">
        <v>3.7306823695290601</v>
      </c>
    </row>
    <row r="16" spans="1:5" x14ac:dyDescent="0.45">
      <c r="A16" t="s">
        <v>160</v>
      </c>
      <c r="B16" t="s">
        <v>69</v>
      </c>
      <c r="C16" t="s">
        <v>16</v>
      </c>
      <c r="D16">
        <v>28100.9386502122</v>
      </c>
      <c r="E16">
        <v>3.55033504807255</v>
      </c>
    </row>
    <row r="17" spans="1:5" x14ac:dyDescent="0.45">
      <c r="A17" t="s">
        <v>160</v>
      </c>
      <c r="B17" t="s">
        <v>70</v>
      </c>
      <c r="C17" t="s">
        <v>16</v>
      </c>
      <c r="D17">
        <v>1491.2954203407401</v>
      </c>
      <c r="E17">
        <v>3.8040942162991098</v>
      </c>
    </row>
    <row r="18" spans="1:5" x14ac:dyDescent="0.45">
      <c r="A18" t="s">
        <v>160</v>
      </c>
      <c r="B18" t="s">
        <v>69</v>
      </c>
      <c r="C18" t="s">
        <v>17</v>
      </c>
      <c r="D18">
        <v>30078.814129928702</v>
      </c>
      <c r="E18">
        <v>3.5631603477576301</v>
      </c>
    </row>
    <row r="19" spans="1:5" x14ac:dyDescent="0.45">
      <c r="A19" t="s">
        <v>160</v>
      </c>
      <c r="B19" t="s">
        <v>70</v>
      </c>
      <c r="C19" t="s">
        <v>17</v>
      </c>
      <c r="D19">
        <v>1575.85288477528</v>
      </c>
      <c r="E19">
        <v>3.8379297421146599</v>
      </c>
    </row>
    <row r="20" spans="1:5" x14ac:dyDescent="0.45">
      <c r="A20" t="s">
        <v>160</v>
      </c>
      <c r="B20" t="s">
        <v>69</v>
      </c>
      <c r="C20" t="s">
        <v>18</v>
      </c>
      <c r="D20">
        <v>30123.516332218998</v>
      </c>
      <c r="E20">
        <v>4.1673303371049304</v>
      </c>
    </row>
    <row r="21" spans="1:5" x14ac:dyDescent="0.45">
      <c r="A21" t="s">
        <v>160</v>
      </c>
      <c r="B21" t="s">
        <v>70</v>
      </c>
      <c r="C21" t="s">
        <v>18</v>
      </c>
      <c r="D21">
        <v>1655.70610113158</v>
      </c>
      <c r="E21">
        <v>4.50395430304415</v>
      </c>
    </row>
    <row r="22" spans="1:5" x14ac:dyDescent="0.45">
      <c r="A22" t="s">
        <v>160</v>
      </c>
      <c r="B22" t="s">
        <v>69</v>
      </c>
      <c r="C22" t="s">
        <v>19</v>
      </c>
      <c r="D22">
        <v>29668.518101890801</v>
      </c>
      <c r="E22">
        <v>4.2432526805282196</v>
      </c>
    </row>
    <row r="23" spans="1:5" x14ac:dyDescent="0.45">
      <c r="A23" t="s">
        <v>160</v>
      </c>
      <c r="B23" t="s">
        <v>70</v>
      </c>
      <c r="C23" t="s">
        <v>19</v>
      </c>
      <c r="D23">
        <v>1538.5861703006899</v>
      </c>
      <c r="E23">
        <v>4.5853688357234104</v>
      </c>
    </row>
    <row r="24" spans="1:5" x14ac:dyDescent="0.45">
      <c r="A24" t="s">
        <v>160</v>
      </c>
      <c r="B24" t="s">
        <v>69</v>
      </c>
      <c r="C24" t="s">
        <v>20</v>
      </c>
      <c r="D24">
        <v>27763.989186143201</v>
      </c>
      <c r="E24">
        <v>4.1181885269451</v>
      </c>
    </row>
    <row r="25" spans="1:5" x14ac:dyDescent="0.45">
      <c r="A25" t="s">
        <v>160</v>
      </c>
      <c r="B25" t="s">
        <v>70</v>
      </c>
      <c r="C25" t="s">
        <v>20</v>
      </c>
      <c r="D25">
        <v>1506.68971040775</v>
      </c>
      <c r="E25">
        <v>4.3910810323109599</v>
      </c>
    </row>
    <row r="26" spans="1:5" x14ac:dyDescent="0.45">
      <c r="A26" t="s">
        <v>160</v>
      </c>
      <c r="B26" t="s">
        <v>69</v>
      </c>
      <c r="C26" t="s">
        <v>21</v>
      </c>
      <c r="D26">
        <v>22408.074751602799</v>
      </c>
      <c r="E26">
        <v>4.0654477870450298</v>
      </c>
    </row>
    <row r="27" spans="1:5" x14ac:dyDescent="0.45">
      <c r="A27" t="s">
        <v>160</v>
      </c>
      <c r="B27" t="s">
        <v>70</v>
      </c>
      <c r="C27" t="s">
        <v>21</v>
      </c>
      <c r="D27">
        <v>1094.2170168397899</v>
      </c>
      <c r="E27">
        <v>4.5486301877549398</v>
      </c>
    </row>
    <row r="28" spans="1:5" x14ac:dyDescent="0.45">
      <c r="A28" t="s">
        <v>160</v>
      </c>
      <c r="B28" t="s">
        <v>69</v>
      </c>
      <c r="C28" t="s">
        <v>22</v>
      </c>
      <c r="D28">
        <v>16083.8734872779</v>
      </c>
      <c r="E28">
        <v>5.0532350028474404</v>
      </c>
    </row>
    <row r="29" spans="1:5" x14ac:dyDescent="0.45">
      <c r="A29" t="s">
        <v>160</v>
      </c>
      <c r="B29" t="s">
        <v>70</v>
      </c>
      <c r="C29" t="s">
        <v>22</v>
      </c>
      <c r="D29">
        <v>895.63536221465301</v>
      </c>
      <c r="E29">
        <v>5.8127026781190203</v>
      </c>
    </row>
    <row r="30" spans="1:5" x14ac:dyDescent="0.45">
      <c r="A30" t="s">
        <v>160</v>
      </c>
      <c r="B30" t="s">
        <v>69</v>
      </c>
      <c r="C30" t="s">
        <v>23</v>
      </c>
      <c r="D30">
        <v>10082.0447111005</v>
      </c>
      <c r="E30">
        <v>4.77841888849985</v>
      </c>
    </row>
    <row r="31" spans="1:5" x14ac:dyDescent="0.45">
      <c r="A31" t="s">
        <v>160</v>
      </c>
      <c r="B31" t="s">
        <v>70</v>
      </c>
      <c r="C31" t="s">
        <v>23</v>
      </c>
      <c r="D31">
        <v>554.24482452634697</v>
      </c>
      <c r="E31">
        <v>5.5368334085324804</v>
      </c>
    </row>
    <row r="32" spans="1:5" x14ac:dyDescent="0.45">
      <c r="A32" t="s">
        <v>160</v>
      </c>
      <c r="B32" t="s">
        <v>69</v>
      </c>
      <c r="C32" t="s">
        <v>24</v>
      </c>
      <c r="D32">
        <v>3662.1288973928999</v>
      </c>
      <c r="E32">
        <v>3.7956608399183098</v>
      </c>
    </row>
    <row r="33" spans="1:8" x14ac:dyDescent="0.45">
      <c r="A33" t="s">
        <v>160</v>
      </c>
      <c r="B33" t="s">
        <v>70</v>
      </c>
      <c r="C33" t="s">
        <v>24</v>
      </c>
      <c r="D33">
        <v>200.605676846309</v>
      </c>
      <c r="E33">
        <v>4.1827250049443903</v>
      </c>
    </row>
    <row r="35" spans="1:8" x14ac:dyDescent="0.45">
      <c r="A35" t="s">
        <v>161</v>
      </c>
    </row>
    <row r="37" spans="1:8" x14ac:dyDescent="0.45">
      <c r="A37" t="s">
        <v>1</v>
      </c>
      <c r="B37" t="s">
        <v>2</v>
      </c>
      <c r="C37" t="s">
        <v>4</v>
      </c>
      <c r="D37" t="s">
        <v>26</v>
      </c>
      <c r="E37" t="s">
        <v>27</v>
      </c>
      <c r="F37" t="s">
        <v>28</v>
      </c>
      <c r="G37" t="s">
        <v>29</v>
      </c>
      <c r="H37" t="s">
        <v>30</v>
      </c>
    </row>
    <row r="38" spans="1:8" x14ac:dyDescent="0.45">
      <c r="A38" t="s">
        <v>160</v>
      </c>
      <c r="B38" t="s">
        <v>69</v>
      </c>
      <c r="C38">
        <v>301673.56243287702</v>
      </c>
      <c r="D38">
        <v>12154</v>
      </c>
      <c r="E38">
        <v>4.02885818100295</v>
      </c>
      <c r="F38">
        <v>3.8466622290614301</v>
      </c>
      <c r="G38">
        <v>3.8454063856818101</v>
      </c>
      <c r="H38">
        <v>3.8479180724410398</v>
      </c>
    </row>
    <row r="39" spans="1:8" x14ac:dyDescent="0.45">
      <c r="A39" t="s">
        <v>160</v>
      </c>
      <c r="B39" t="s">
        <v>70</v>
      </c>
      <c r="C39">
        <v>15913.917233862199</v>
      </c>
      <c r="D39">
        <v>696</v>
      </c>
      <c r="E39">
        <v>4.3735303493914399</v>
      </c>
      <c r="F39">
        <v>4.1781099144026701</v>
      </c>
      <c r="G39">
        <v>4.1715316761258503</v>
      </c>
      <c r="H39">
        <v>4.1846881526794899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23</vt:i4>
      </vt:variant>
    </vt:vector>
  </HeadingPairs>
  <TitlesOfParts>
    <vt:vector size="23" baseType="lpstr">
      <vt:lpstr>exterior_cladding</vt:lpstr>
      <vt:lpstr>residence_stability_group</vt:lpstr>
      <vt:lpstr>deductible</vt:lpstr>
      <vt:lpstr>region</vt:lpstr>
      <vt:lpstr>alarm_system</vt:lpstr>
      <vt:lpstr>hydrant_proximity</vt:lpstr>
      <vt:lpstr>fire_station_proximity</vt:lpstr>
      <vt:lpstr>heating_type</vt:lpstr>
      <vt:lpstr>fidelity_cat</vt:lpstr>
      <vt:lpstr>insured_employment</vt:lpstr>
      <vt:lpstr>multi_product_discount</vt:lpstr>
      <vt:lpstr>smoker</vt:lpstr>
      <vt:lpstr>auxiliary_heating</vt:lpstr>
      <vt:lpstr>etat_toit</vt:lpstr>
      <vt:lpstr>credit_score_level</vt:lpstr>
      <vt:lpstr>past_claims2plus</vt:lpstr>
      <vt:lpstr>group_age_oldest_insured</vt:lpstr>
      <vt:lpstr>marital_status</vt:lpstr>
      <vt:lpstr>house_type</vt:lpstr>
      <vt:lpstr>water_body_proximity</vt:lpstr>
      <vt:lpstr>skylight_presence</vt:lpstr>
      <vt:lpstr>room_rental</vt:lpstr>
      <vt:lpstr>commercial_activities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</dc:creator>
  <cp:lastModifiedBy>Jonathan Kaboré</cp:lastModifiedBy>
  <dcterms:created xsi:type="dcterms:W3CDTF">2025-11-13T04:33:53Z</dcterms:created>
  <dcterms:modified xsi:type="dcterms:W3CDTF">2025-11-13T05:29:56Z</dcterms:modified>
</cp:coreProperties>
</file>