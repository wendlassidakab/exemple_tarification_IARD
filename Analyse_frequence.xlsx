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/>
  <mc:AlternateContent xmlns:mc="http://schemas.openxmlformats.org/markup-compatibility/2006">
    <mc:Choice Requires="x15">
      <x15ac:absPath xmlns:x15ac="http://schemas.microsoft.com/office/spreadsheetml/2010/11/ac" url="C:\Users\jonat\Desktop\Wendeka Risk\portofolio\exemple_tarification_IARD\"/>
    </mc:Choice>
  </mc:AlternateContent>
  <xr:revisionPtr revIDLastSave="0" documentId="13_ncr:1_{F5B506AD-BB27-4638-87AC-64F341705BBB}" xr6:coauthVersionLast="47" xr6:coauthVersionMax="47" xr10:uidLastSave="{00000000-0000-0000-0000-000000000000}"/>
  <bookViews>
    <workbookView xWindow="19470" yWindow="-16320" windowWidth="29040" windowHeight="15720" activeTab="5" xr2:uid="{00000000-000D-0000-FFFF-FFFF00000000}"/>
  </bookViews>
  <sheets>
    <sheet name="client_start_year" sheetId="1" r:id="rId1"/>
    <sheet name="oldest_insured_year_birth" sheetId="2" r:id="rId2"/>
    <sheet name="insured_employment" sheetId="3" r:id="rId3"/>
    <sheet name="marital_status" sheetId="4" r:id="rId4"/>
    <sheet name="num_children" sheetId="5" r:id="rId5"/>
    <sheet name="smoker" sheetId="6" r:id="rId6"/>
    <sheet name="policy_issue_year" sheetId="7" r:id="rId7"/>
    <sheet name="liability_limit" sheetId="8" r:id="rId8"/>
    <sheet name="region" sheetId="9" r:id="rId9"/>
    <sheet name="construction_year" sheetId="10" r:id="rId10"/>
    <sheet name="house_type" sheetId="11" r:id="rId11"/>
    <sheet name="floors_above_ground" sheetId="12" r:id="rId12"/>
    <sheet name="exterior_cladding" sheetId="13" r:id="rId13"/>
    <sheet name="heating_type" sheetId="14" r:id="rId14"/>
    <sheet name="auxiliary_heating" sheetId="15" r:id="rId15"/>
    <sheet name="alarm_system" sheetId="16" r:id="rId16"/>
    <sheet name="garage_type" sheetId="17" r:id="rId17"/>
    <sheet name="basement" sheetId="18" r:id="rId18"/>
    <sheet name="roof_type" sheetId="19" r:id="rId19"/>
    <sheet name="roof_year" sheetId="20" r:id="rId20"/>
    <sheet name="skylight_presence" sheetId="21" r:id="rId21"/>
    <sheet name="pool_presence" sheetId="22" r:id="rId22"/>
    <sheet name="water_body_proximity" sheetId="23" r:id="rId23"/>
    <sheet name="fire_station_proximity" sheetId="24" r:id="rId24"/>
    <sheet name="hydrant_proximity" sheetId="25" r:id="rId25"/>
    <sheet name="room_rental" sheetId="26" r:id="rId26"/>
    <sheet name="commercial_activities" sheetId="27" r:id="rId27"/>
    <sheet name="mortgage" sheetId="28" r:id="rId28"/>
    <sheet name="deductible" sheetId="29" r:id="rId29"/>
    <sheet name="earthquake_coverage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4" l="1"/>
  <c r="D6" i="4"/>
  <c r="E6" i="4"/>
  <c r="B6" i="4"/>
  <c r="F6" i="4" s="1"/>
  <c r="C9" i="3"/>
  <c r="D9" i="3"/>
  <c r="E9" i="3"/>
  <c r="B9" i="3"/>
  <c r="F9" i="3" s="1"/>
  <c r="C17" i="1"/>
  <c r="D17" i="1"/>
  <c r="E17" i="1"/>
  <c r="B17" i="1"/>
  <c r="F17" i="1" s="1"/>
  <c r="G2" i="4" l="1"/>
  <c r="G3" i="4"/>
  <c r="G4" i="4"/>
  <c r="G5" i="4"/>
  <c r="G6" i="4"/>
  <c r="G2" i="3"/>
  <c r="G3" i="3"/>
  <c r="G4" i="3"/>
  <c r="G5" i="3"/>
  <c r="G6" i="3"/>
  <c r="G7" i="3"/>
  <c r="G8" i="3"/>
  <c r="G9" i="3"/>
  <c r="G2" i="1"/>
  <c r="G6" i="1"/>
  <c r="G11" i="1"/>
  <c r="G12" i="1"/>
  <c r="G15" i="1"/>
  <c r="G3" i="1"/>
  <c r="G4" i="1"/>
  <c r="G7" i="1"/>
  <c r="G8" i="1"/>
  <c r="G9" i="1"/>
  <c r="G10" i="1"/>
  <c r="G13" i="1"/>
  <c r="G14" i="1"/>
  <c r="G16" i="1"/>
  <c r="G17" i="1"/>
  <c r="G5" i="1"/>
</calcChain>
</file>

<file path=xl/sharedStrings.xml><?xml version="1.0" encoding="utf-8"?>
<sst xmlns="http://schemas.openxmlformats.org/spreadsheetml/2006/main" count="258" uniqueCount="89">
  <si>
    <t>client_start_year</t>
  </si>
  <si>
    <t>num_claims</t>
  </si>
  <si>
    <t>earned_exposure</t>
  </si>
  <si>
    <t>% claims</t>
  </si>
  <si>
    <t>% exposure</t>
  </si>
  <si>
    <t>Frequence / 100 maisons</t>
  </si>
  <si>
    <t>oldest_insured_year_birth</t>
  </si>
  <si>
    <t>insured_employment</t>
  </si>
  <si>
    <t>Healthcare</t>
  </si>
  <si>
    <t>Insurance</t>
  </si>
  <si>
    <t>Other</t>
  </si>
  <si>
    <t>Public Service</t>
  </si>
  <si>
    <t>Retired</t>
  </si>
  <si>
    <t>Student</t>
  </si>
  <si>
    <t>Unemployed</t>
  </si>
  <si>
    <t>marital_status</t>
  </si>
  <si>
    <t>Divorced</t>
  </si>
  <si>
    <t>Married</t>
  </si>
  <si>
    <t>Single</t>
  </si>
  <si>
    <t>Widowed</t>
  </si>
  <si>
    <t>num_children</t>
  </si>
  <si>
    <t>smoker</t>
  </si>
  <si>
    <t>No</t>
  </si>
  <si>
    <t>Yes</t>
  </si>
  <si>
    <t>policy_issue_year</t>
  </si>
  <si>
    <t>liability_limit</t>
  </si>
  <si>
    <t>1M</t>
  </si>
  <si>
    <t>2M</t>
  </si>
  <si>
    <t>region</t>
  </si>
  <si>
    <t>Estrie</t>
  </si>
  <si>
    <t>Hamilton</t>
  </si>
  <si>
    <t>Huron</t>
  </si>
  <si>
    <t>Laurentides</t>
  </si>
  <si>
    <t>Laval</t>
  </si>
  <si>
    <t>Montreal</t>
  </si>
  <si>
    <t>Niagara</t>
  </si>
  <si>
    <t>Ottawa</t>
  </si>
  <si>
    <t>Outaouais</t>
  </si>
  <si>
    <t>Quebec City</t>
  </si>
  <si>
    <t>Toronto</t>
  </si>
  <si>
    <t>York</t>
  </si>
  <si>
    <t>construction_year</t>
  </si>
  <si>
    <t>house_type</t>
  </si>
  <si>
    <t>Commercial building</t>
  </si>
  <si>
    <t>Detached</t>
  </si>
  <si>
    <t>Duplex</t>
  </si>
  <si>
    <t>Farm</t>
  </si>
  <si>
    <t>Row house</t>
  </si>
  <si>
    <t>Semi-detached</t>
  </si>
  <si>
    <t>Triplex</t>
  </si>
  <si>
    <t>floors_above_ground</t>
  </si>
  <si>
    <t>exterior_cladding</t>
  </si>
  <si>
    <t>Brick</t>
  </si>
  <si>
    <t>Vinyl</t>
  </si>
  <si>
    <t>Wood</t>
  </si>
  <si>
    <t>heating_type</t>
  </si>
  <si>
    <t>Electricity</t>
  </si>
  <si>
    <t>Gas/Oil</t>
  </si>
  <si>
    <t>auxiliary_heating</t>
  </si>
  <si>
    <t>alarm_system</t>
  </si>
  <si>
    <t>Fire and Theft</t>
  </si>
  <si>
    <t>Fire only</t>
  </si>
  <si>
    <t>No alarm system</t>
  </si>
  <si>
    <t>Theft only</t>
  </si>
  <si>
    <t>garage_type</t>
  </si>
  <si>
    <t>1 car</t>
  </si>
  <si>
    <t>No garage</t>
  </si>
  <si>
    <t>basement</t>
  </si>
  <si>
    <t>Finished</t>
  </si>
  <si>
    <t>Unfinished</t>
  </si>
  <si>
    <t>roof_type</t>
  </si>
  <si>
    <t>Flat</t>
  </si>
  <si>
    <t>Normal</t>
  </si>
  <si>
    <t>Turrets or Dormers</t>
  </si>
  <si>
    <t>roof_year</t>
  </si>
  <si>
    <t>skylight_presence</t>
  </si>
  <si>
    <t>pool_presence</t>
  </si>
  <si>
    <t>water_body_proximity</t>
  </si>
  <si>
    <t>fire_station_proximity</t>
  </si>
  <si>
    <t>hydrant_proximity</t>
  </si>
  <si>
    <t>room_rental</t>
  </si>
  <si>
    <t>commercial_activities</t>
  </si>
  <si>
    <t>mortgage</t>
  </si>
  <si>
    <t>With Lender</t>
  </si>
  <si>
    <t>Without Lender</t>
  </si>
  <si>
    <t>deductible</t>
  </si>
  <si>
    <t>earthquake_coverage</t>
  </si>
  <si>
    <t>Total</t>
  </si>
  <si>
    <t>Colonne1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</si>
</sst>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2" fontId="0" fillId="0" borderId="0" xfId="0" applyNumberFormat="1"/>
  </cellXfs>
  <cellStyles count="2">
    <cellStyle name="Normal" xfId="0" builtinId="0"/>
    <cellStyle name="Pourcentage" xfId="1" builtinId="5"/>
  </cellStyles>
  <dxfs count="22"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numRef>
              <c:f>client_start_year!$A$2:$A$16</c:f>
              <c:numCache>
                <c:formatCode>General</c:formatCode>
                <c:ptCount val="15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</c:numCache>
            </c:numRef>
          </c:cat>
          <c:val>
            <c:numRef>
              <c:f>client_start_year!$E$2:$E$16</c:f>
              <c:numCache>
                <c:formatCode>0%</c:formatCode>
                <c:ptCount val="15"/>
                <c:pt idx="0">
                  <c:v>1.6149703311383341E-2</c:v>
                </c:pt>
                <c:pt idx="1">
                  <c:v>3.30796481872647E-2</c:v>
                </c:pt>
                <c:pt idx="2">
                  <c:v>5.0658287649493892E-2</c:v>
                </c:pt>
                <c:pt idx="3">
                  <c:v>6.8665129217416368E-2</c:v>
                </c:pt>
                <c:pt idx="4">
                  <c:v>8.5932144414373107E-2</c:v>
                </c:pt>
                <c:pt idx="5">
                  <c:v>8.9051137085998433E-2</c:v>
                </c:pt>
                <c:pt idx="6">
                  <c:v>9.3178213768394275E-2</c:v>
                </c:pt>
                <c:pt idx="7">
                  <c:v>9.9672276274621635E-2</c:v>
                </c:pt>
                <c:pt idx="8">
                  <c:v>0.10006446874636921</c:v>
                </c:pt>
                <c:pt idx="9">
                  <c:v>9.8263018129488969E-2</c:v>
                </c:pt>
                <c:pt idx="10">
                  <c:v>9.2165720535539369E-2</c:v>
                </c:pt>
                <c:pt idx="11">
                  <c:v>7.4002576528220829E-2</c:v>
                </c:pt>
                <c:pt idx="12">
                  <c:v>5.3464037270329473E-2</c:v>
                </c:pt>
                <c:pt idx="13">
                  <c:v>3.3490896891741513E-2</c:v>
                </c:pt>
                <c:pt idx="14">
                  <c:v>1.2162741989364871E-2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A-4724-B9AE-0884C9CA0A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08379359"/>
        <c:axId val="469729663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client_start_year!$F$2:$F$16</c:f>
              <c:numCache>
                <c:formatCode>General</c:formatCode>
                <c:ptCount val="15"/>
                <c:pt idx="0">
                  <c:v>3.6654721846680558</c:v>
                </c:pt>
                <c:pt idx="1">
                  <c:v>3.4933476631449238</c:v>
                </c:pt>
                <c:pt idx="2">
                  <c:v>3.381310251627208</c:v>
                </c:pt>
                <c:pt idx="3">
                  <c:v>3.2741501905134829</c:v>
                </c:pt>
                <c:pt idx="4">
                  <c:v>3.4260412565037042</c:v>
                </c:pt>
                <c:pt idx="5">
                  <c:v>3.7409579417481651</c:v>
                </c:pt>
                <c:pt idx="6">
                  <c:v>3.477263654872043</c:v>
                </c:pt>
                <c:pt idx="7">
                  <c:v>3.7845920143260852</c:v>
                </c:pt>
                <c:pt idx="8">
                  <c:v>4.0938698318643318</c:v>
                </c:pt>
                <c:pt idx="9">
                  <c:v>4.1881489182726339</c:v>
                </c:pt>
                <c:pt idx="10">
                  <c:v>4.3661440327938239</c:v>
                </c:pt>
                <c:pt idx="11">
                  <c:v>4.9356888742125742</c:v>
                </c:pt>
                <c:pt idx="12">
                  <c:v>5.1768281862067589</c:v>
                </c:pt>
                <c:pt idx="13">
                  <c:v>5.9701270623842504</c:v>
                </c:pt>
                <c:pt idx="14">
                  <c:v>6.6533176189207346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BA-4724-B9AE-0884C9CA0AF6}"/>
            </c:ext>
          </c:extLst>
        </c:ser>
        <c:ser>
          <c:idx val="2"/>
          <c:order val="2"/>
          <c:tx>
            <c:v>Fréquence 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client_start_year!$G$2:$G$16</c:f>
              <c:numCache>
                <c:formatCode>General</c:formatCode>
                <c:ptCount val="15"/>
                <c:pt idx="0">
                  <c:v>4.0461292786114162</c:v>
                </c:pt>
                <c:pt idx="1">
                  <c:v>4.0461292786114162</c:v>
                </c:pt>
                <c:pt idx="2">
                  <c:v>4.0461292786114162</c:v>
                </c:pt>
                <c:pt idx="3">
                  <c:v>4.0461292786114162</c:v>
                </c:pt>
                <c:pt idx="4">
                  <c:v>4.0461292786114162</c:v>
                </c:pt>
                <c:pt idx="5">
                  <c:v>4.0461292786114162</c:v>
                </c:pt>
                <c:pt idx="6">
                  <c:v>4.0461292786114162</c:v>
                </c:pt>
                <c:pt idx="7">
                  <c:v>4.0461292786114162</c:v>
                </c:pt>
                <c:pt idx="8">
                  <c:v>4.0461292786114162</c:v>
                </c:pt>
                <c:pt idx="9">
                  <c:v>4.0461292786114162</c:v>
                </c:pt>
                <c:pt idx="10">
                  <c:v>4.0461292786114162</c:v>
                </c:pt>
                <c:pt idx="11">
                  <c:v>4.0461292786114162</c:v>
                </c:pt>
                <c:pt idx="12">
                  <c:v>4.0461292786114162</c:v>
                </c:pt>
                <c:pt idx="13">
                  <c:v>4.0461292786114162</c:v>
                </c:pt>
                <c:pt idx="14">
                  <c:v>4.0461292786114162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4BA-4724-B9AE-0884C9CA0A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497583"/>
        <c:axId val="461818015"/>
      </c:lineChart>
      <c:catAx>
        <c:axId val="180837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9729663"/>
        <c:crosses val="autoZero"/>
        <c:auto val="1"/>
        <c:lblAlgn val="ctr"/>
        <c:lblOffset val="100"/>
        <c:noMultiLvlLbl val="0"/>
      </c:catAx>
      <c:valAx>
        <c:axId val="469729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379359"/>
        <c:crosses val="autoZero"/>
        <c:crossBetween val="between"/>
      </c:valAx>
      <c:valAx>
        <c:axId val="461818015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6497583"/>
        <c:crosses val="max"/>
        <c:crossBetween val="between"/>
      </c:valAx>
      <c:catAx>
        <c:axId val="466497583"/>
        <c:scaling>
          <c:orientation val="minMax"/>
        </c:scaling>
        <c:delete val="1"/>
        <c:axPos val="b"/>
        <c:majorTickMark val="none"/>
        <c:minorTickMark val="none"/>
        <c:tickLblPos val="nextTo"/>
        <c:crossAx val="46181801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insured_employment!$A$2:$A$8</c:f>
              <c:strCache>
                <c:ptCount val="7"/>
                <c:pt idx="0">
                  <c:v>Healthcare</c:v>
                </c:pt>
                <c:pt idx="1">
                  <c:v>Insurance</c:v>
                </c:pt>
                <c:pt idx="2">
                  <c:v>Other</c:v>
                </c:pt>
                <c:pt idx="3">
                  <c:v>Public Service</c:v>
                </c:pt>
                <c:pt idx="4">
                  <c:v>Retired</c:v>
                </c:pt>
                <c:pt idx="5">
                  <c:v>Student</c:v>
                </c:pt>
                <c:pt idx="6">
                  <c:v>Unemployed</c:v>
                </c:pt>
              </c:strCache>
            </c:strRef>
          </c:cat>
          <c:val>
            <c:numRef>
              <c:f>insured_employment!$E$2:$E$8</c:f>
              <c:numCache>
                <c:formatCode>0%</c:formatCode>
                <c:ptCount val="7"/>
                <c:pt idx="0">
                  <c:v>0.11087968075143741</c:v>
                </c:pt>
                <c:pt idx="1">
                  <c:v>8.0980274879959846E-2</c:v>
                </c:pt>
                <c:pt idx="2">
                  <c:v>0.14785975648710031</c:v>
                </c:pt>
                <c:pt idx="3">
                  <c:v>0.16359828273223259</c:v>
                </c:pt>
                <c:pt idx="4">
                  <c:v>0.36328861181039379</c:v>
                </c:pt>
                <c:pt idx="5">
                  <c:v>5.038746814782942E-2</c:v>
                </c:pt>
                <c:pt idx="6">
                  <c:v>8.3005925191046534E-2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51-4626-875C-0D8BF9F3C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8921791"/>
        <c:axId val="468922207"/>
      </c:barChart>
      <c:lineChart>
        <c:grouping val="standard"/>
        <c:varyColors val="0"/>
        <c:ser>
          <c:idx val="1"/>
          <c:order val="1"/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3.279528832416722E-2"/>
                  <c:y val="5.61157154657065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51-4626-875C-0D8BF9F3C5D4}"/>
                </c:ext>
              </c:extLst>
            </c:dLbl>
            <c:dLbl>
              <c:idx val="1"/>
              <c:layout>
                <c:manualLayout>
                  <c:x val="-2.2546760722864965E-2"/>
                  <c:y val="4.55940188158866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D51-4626-875C-0D8BF9F3C5D4}"/>
                </c:ext>
              </c:extLst>
            </c:dLbl>
            <c:dLbl>
              <c:idx val="2"/>
              <c:layout>
                <c:manualLayout>
                  <c:x val="-1.639764416208361E-2"/>
                  <c:y val="5.26084832490999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D51-4626-875C-0D8BF9F3C5D4}"/>
                </c:ext>
              </c:extLst>
            </c:dLbl>
            <c:dLbl>
              <c:idx val="3"/>
              <c:layout>
                <c:manualLayout>
                  <c:x val="-1.8447349682344062E-2"/>
                  <c:y val="-7.71591087653466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D51-4626-875C-0D8BF9F3C5D4}"/>
                </c:ext>
              </c:extLst>
            </c:dLbl>
            <c:dLbl>
              <c:idx val="4"/>
              <c:layout>
                <c:manualLayout>
                  <c:x val="2.869587728364632E-2"/>
                  <c:y val="5.611571546570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D51-4626-875C-0D8BF9F3C5D4}"/>
                </c:ext>
              </c:extLst>
            </c:dLbl>
            <c:dLbl>
              <c:idx val="5"/>
              <c:layout>
                <c:manualLayout>
                  <c:x val="-1.639764416208361E-2"/>
                  <c:y val="-3.85795543826732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D51-4626-875C-0D8BF9F3C5D4}"/>
                </c:ext>
              </c:extLst>
            </c:dLbl>
            <c:dLbl>
              <c:idx val="6"/>
              <c:layout>
                <c:manualLayout>
                  <c:x val="-1.0248527601302257E-2"/>
                  <c:y val="-3.15650899494599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D51-4626-875C-0D8BF9F3C5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insured_employment!$F$2:$F$8</c:f>
              <c:numCache>
                <c:formatCode>0.00</c:formatCode>
                <c:ptCount val="7"/>
                <c:pt idx="0">
                  <c:v>3.8138242252950389</c:v>
                </c:pt>
                <c:pt idx="1">
                  <c:v>3.460567997785859</c:v>
                </c:pt>
                <c:pt idx="2">
                  <c:v>3.9226202542173172</c:v>
                </c:pt>
                <c:pt idx="3">
                  <c:v>4.0726168140631076</c:v>
                </c:pt>
                <c:pt idx="4">
                  <c:v>3.4972637169658101</c:v>
                </c:pt>
                <c:pt idx="5">
                  <c:v>6.430273797686195</c:v>
                </c:pt>
                <c:pt idx="6">
                  <c:v>6.0504575738420092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51-4626-875C-0D8BF9F3C5D4}"/>
            </c:ext>
          </c:extLst>
        </c:ser>
        <c:ser>
          <c:idx val="2"/>
          <c:order val="2"/>
          <c:spPr>
            <a:ln w="3175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insured_employment!$G$2:$G$8</c:f>
              <c:numCache>
                <c:formatCode>0.00</c:formatCode>
                <c:ptCount val="7"/>
                <c:pt idx="0">
                  <c:v>4.046129278611418</c:v>
                </c:pt>
                <c:pt idx="1">
                  <c:v>4.046129278611418</c:v>
                </c:pt>
                <c:pt idx="2">
                  <c:v>4.046129278611418</c:v>
                </c:pt>
                <c:pt idx="3">
                  <c:v>4.046129278611418</c:v>
                </c:pt>
                <c:pt idx="4">
                  <c:v>4.046129278611418</c:v>
                </c:pt>
                <c:pt idx="5">
                  <c:v>4.046129278611418</c:v>
                </c:pt>
                <c:pt idx="6">
                  <c:v>4.046129278611418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51-4626-875C-0D8BF9F3C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0148351"/>
        <c:axId val="580149183"/>
      </c:lineChart>
      <c:catAx>
        <c:axId val="46892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8922207"/>
        <c:crosses val="autoZero"/>
        <c:auto val="1"/>
        <c:lblAlgn val="ctr"/>
        <c:lblOffset val="100"/>
        <c:noMultiLvlLbl val="0"/>
      </c:catAx>
      <c:valAx>
        <c:axId val="46892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8921791"/>
        <c:crosses val="autoZero"/>
        <c:crossBetween val="between"/>
      </c:valAx>
      <c:valAx>
        <c:axId val="580149183"/>
        <c:scaling>
          <c:orientation val="minMax"/>
        </c:scaling>
        <c:delete val="0"/>
        <c:axPos val="r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0148351"/>
        <c:crosses val="max"/>
        <c:crossBetween val="between"/>
      </c:valAx>
      <c:catAx>
        <c:axId val="580148351"/>
        <c:scaling>
          <c:orientation val="minMax"/>
        </c:scaling>
        <c:delete val="1"/>
        <c:axPos val="b"/>
        <c:majorTickMark val="none"/>
        <c:minorTickMark val="none"/>
        <c:tickLblPos val="nextTo"/>
        <c:crossAx val="58014918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marital_status!$E$1</c:f>
              <c:strCache>
                <c:ptCount val="1"/>
                <c:pt idx="0">
                  <c:v>% exposure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marital_status!$A$2:$A$5</c:f>
              <c:strCache>
                <c:ptCount val="4"/>
                <c:pt idx="0">
                  <c:v>Divorced</c:v>
                </c:pt>
                <c:pt idx="1">
                  <c:v>Married</c:v>
                </c:pt>
                <c:pt idx="2">
                  <c:v>Single</c:v>
                </c:pt>
                <c:pt idx="3">
                  <c:v>Widowed</c:v>
                </c:pt>
              </c:strCache>
            </c:strRef>
          </c:cat>
          <c:val>
            <c:numRef>
              <c:f>marital_status!$E$2:$E$5</c:f>
              <c:numCache>
                <c:formatCode>0%</c:formatCode>
                <c:ptCount val="4"/>
                <c:pt idx="0">
                  <c:v>0.21756579531975839</c:v>
                </c:pt>
                <c:pt idx="1">
                  <c:v>0.29415271133436122</c:v>
                </c:pt>
                <c:pt idx="2">
                  <c:v>0.29105779747065658</c:v>
                </c:pt>
                <c:pt idx="3">
                  <c:v>0.19722369587522379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A4-4373-85D4-8B939C496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4983071"/>
        <c:axId val="614981823"/>
      </c:barChart>
      <c:lineChart>
        <c:grouping val="standard"/>
        <c:varyColors val="0"/>
        <c:ser>
          <c:idx val="1"/>
          <c:order val="1"/>
          <c:tx>
            <c:strRef>
              <c:f>marital_status!$F$1</c:f>
              <c:strCache>
                <c:ptCount val="1"/>
                <c:pt idx="0">
                  <c:v>Frequence / 100 maisons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0.11560693641618497"/>
                  <c:y val="3.316749585406241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0A4-4373-85D4-8B939C496BF3}"/>
                </c:ext>
              </c:extLst>
            </c:dLbl>
            <c:dLbl>
              <c:idx val="1"/>
              <c:layout>
                <c:manualLayout>
                  <c:x val="-0.10019267822736035"/>
                  <c:y val="5.97014925373134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0A4-4373-85D4-8B939C496BF3}"/>
                </c:ext>
              </c:extLst>
            </c:dLbl>
            <c:dLbl>
              <c:idx val="2"/>
              <c:layout>
                <c:manualLayout>
                  <c:x val="4.4316068150440591E-2"/>
                  <c:y val="-6.301811154202739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2244625491177759E-2"/>
                      <c:h val="5.965187187422466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F0A4-4373-85D4-8B939C496B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marital_status!$F$2:$F$5</c:f>
              <c:numCache>
                <c:formatCode>0.00</c:formatCode>
                <c:ptCount val="4"/>
                <c:pt idx="0">
                  <c:v>3.770107521269721</c:v>
                </c:pt>
                <c:pt idx="1">
                  <c:v>3.809708609683097</c:v>
                </c:pt>
                <c:pt idx="2">
                  <c:v>4.7308248127658832</c:v>
                </c:pt>
                <c:pt idx="3">
                  <c:v>3.6927777208415451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A4-4373-85D4-8B939C496BF3}"/>
            </c:ext>
          </c:extLst>
        </c:ser>
        <c:ser>
          <c:idx val="2"/>
          <c:order val="2"/>
          <c:tx>
            <c:strRef>
              <c:f>marital_status!$G$1</c:f>
              <c:strCache>
                <c:ptCount val="1"/>
                <c:pt idx="0">
                  <c:v>Colonne1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marital_status!$G$2:$G$5</c:f>
              <c:numCache>
                <c:formatCode>0.00</c:formatCode>
                <c:ptCount val="4"/>
                <c:pt idx="0">
                  <c:v>4.0461292786114171</c:v>
                </c:pt>
                <c:pt idx="1">
                  <c:v>4.0461292786114171</c:v>
                </c:pt>
                <c:pt idx="2">
                  <c:v>4.0461292786114171</c:v>
                </c:pt>
                <c:pt idx="3">
                  <c:v>4.0461292786114171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A4-4373-85D4-8B939C496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62943"/>
        <c:axId val="470566271"/>
      </c:lineChart>
      <c:catAx>
        <c:axId val="61498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14981823"/>
        <c:crosses val="autoZero"/>
        <c:auto val="1"/>
        <c:lblAlgn val="ctr"/>
        <c:lblOffset val="100"/>
        <c:noMultiLvlLbl val="0"/>
      </c:catAx>
      <c:valAx>
        <c:axId val="61498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14983071"/>
        <c:crosses val="autoZero"/>
        <c:crossBetween val="between"/>
      </c:valAx>
      <c:valAx>
        <c:axId val="470566271"/>
        <c:scaling>
          <c:orientation val="minMax"/>
        </c:scaling>
        <c:delete val="0"/>
        <c:axPos val="r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0562943"/>
        <c:crosses val="max"/>
        <c:crossBetween val="between"/>
      </c:valAx>
      <c:catAx>
        <c:axId val="470562943"/>
        <c:scaling>
          <c:orientation val="minMax"/>
        </c:scaling>
        <c:delete val="1"/>
        <c:axPos val="b"/>
        <c:majorTickMark val="none"/>
        <c:minorTickMark val="none"/>
        <c:tickLblPos val="nextTo"/>
        <c:crossAx val="47056627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198925</xdr:colOff>
      <xdr:row>1</xdr:row>
      <xdr:rowOff>11722</xdr:rowOff>
    </xdr:from>
    <xdr:to>
      <xdr:col>15</xdr:col>
      <xdr:colOff>454270</xdr:colOff>
      <xdr:row>16</xdr:row>
      <xdr:rowOff>156062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3AE2931-E21F-437E-AE39-EC18D03F3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314325</xdr:colOff>
      <xdr:row>9</xdr:row>
      <xdr:rowOff>133348</xdr:rowOff>
    </xdr:from>
    <xdr:to>
      <xdr:col>5</xdr:col>
      <xdr:colOff>1155700</xdr:colOff>
      <xdr:row>29</xdr:row>
      <xdr:rowOff>103187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407E939-A9F6-4A07-B5E4-A67E4B07F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133350</xdr:rowOff>
    </xdr:from>
    <xdr:to>
      <xdr:col>6</xdr:col>
      <xdr:colOff>161925</xdr:colOff>
      <xdr:row>28</xdr:row>
      <xdr:rowOff>161925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40BAD0B-2842-46EA-A07D-612E0A3219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735B45-8CC8-4DBC-9FE5-1A9532DE727D}" name="Tableau1" displayName="Tableau1" ref="A1:G17" totalsRowShown="0" headerRowDxfId="12" headerRowBorderDxfId="20" tableBorderDxfId="21" totalsRowBorderDxfId="19">
  <autoFilter ref="A1:G17" xr:uid="{8D735B45-8CC8-4DBC-9FE5-1A9532DE727D}"/>
  <tableColumns count="7">
    <tableColumn id="1" xr3:uid="{8896152C-071F-4D8F-BBD6-D03AAF356D3E}" name="client_start_year" dataDxfId="18"/>
    <tableColumn id="2" xr3:uid="{137C6BCB-A246-4CF6-BDCD-90D57BE02B6A}" name="num_claims" dataDxfId="17"/>
    <tableColumn id="3" xr3:uid="{9A07AB45-592D-44B7-A9E3-17EEA9A846B1}" name="earned_exposure" dataDxfId="16"/>
    <tableColumn id="4" xr3:uid="{CFB3E2B1-F7BC-48FC-B06E-DF636DC8E40E}" name="% claims" dataDxfId="15" dataCellStyle="Pourcentage"/>
    <tableColumn id="5" xr3:uid="{7D63FF0D-C516-401F-AD5F-6F924E6D87C0}" name="% exposure" dataDxfId="14" dataCellStyle="Pourcentage"/>
    <tableColumn id="6" xr3:uid="{4F9E3546-5C2A-4323-8F8C-A40163CF1B1A}" name="Frequence / 100 maisons" dataDxfId="13"/>
    <tableColumn id="7" xr3:uid="{F35F16B3-C6C8-4122-A8C4-F96C2C60BBD0}" name="Colonne1" dataDxfId="11">
      <calculatedColumnFormula>$F$17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F468D1-4762-4666-ACD8-829655DC7577}" name="Tableau2" displayName="Tableau2" ref="A1:G9" totalsRowShown="0" headerRowDxfId="8" headerRowBorderDxfId="9" tableBorderDxfId="10">
  <autoFilter ref="A1:G9" xr:uid="{4FF468D1-4762-4666-ACD8-829655DC7577}"/>
  <tableColumns count="7">
    <tableColumn id="1" xr3:uid="{61520FDF-975D-441E-B433-B4195220FD16}" name="insured_employment"/>
    <tableColumn id="2" xr3:uid="{4C454C58-A23B-41B7-80E9-1BF2ABD6AB1C}" name="num_claims"/>
    <tableColumn id="3" xr3:uid="{372DE183-E768-4D93-9BED-4319A6591FF9}" name="earned_exposure"/>
    <tableColumn id="4" xr3:uid="{68CFD6E5-AF98-4ED9-959A-F66F1A50959D}" name="% claims"/>
    <tableColumn id="5" xr3:uid="{725F21CC-94D9-4B03-B969-C20642E74E14}" name="% exposure"/>
    <tableColumn id="6" xr3:uid="{9A476AEC-D48D-41A8-91B6-233662BE5D4D}" name="Frequence / 100 maisons"/>
    <tableColumn id="7" xr3:uid="{5464D181-E4F4-4153-8DC9-E4CC293E109F}" name="Colonne1" dataDxfId="7">
      <calculatedColumnFormula>+$F$9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E1B64B-BD57-40CE-A406-773EADD68AD7}" name="Tableau3" displayName="Tableau3" ref="A1:G6" totalsRowShown="0" headerRowDxfId="2" headerRowBorderDxfId="5" tableBorderDxfId="6">
  <autoFilter ref="A1:G6" xr:uid="{F7E1B64B-BD57-40CE-A406-773EADD68AD7}"/>
  <tableColumns count="7">
    <tableColumn id="1" xr3:uid="{1AED5B0F-6877-4142-9078-C185C7C7481D}" name="marital_status"/>
    <tableColumn id="2" xr3:uid="{25B50574-C49B-47EB-A3C3-D3392C402A93}" name="num_claims"/>
    <tableColumn id="3" xr3:uid="{196425C9-C074-48B0-90E8-5E363AAEF856}" name="earned_exposure"/>
    <tableColumn id="4" xr3:uid="{F39BC19C-94CF-4046-95FA-36424F96D95C}" name="% claims" dataDxfId="4" dataCellStyle="Pourcentage"/>
    <tableColumn id="5" xr3:uid="{02CE1F4A-64D6-4651-8492-BD5B72A63FF2}" name="% exposure" dataDxfId="3" dataCellStyle="Pourcentage"/>
    <tableColumn id="6" xr3:uid="{D313DFFC-E0E0-4028-91A5-4D1652571A94}" name="Frequence / 100 maisons" dataDxfId="1"/>
    <tableColumn id="7" xr3:uid="{48017892-5CC2-4C50-AEEF-30B7FCF71B18}" name="Colonne1" dataDxfId="0">
      <calculatedColumnFormula>$F$6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zoomScale="130" zoomScaleNormal="130" workbookViewId="0">
      <selection activeCell="H23" sqref="H23"/>
    </sheetView>
  </sheetViews>
  <sheetFormatPr baseColWidth="10" defaultColWidth="9.06640625" defaultRowHeight="14.25" x14ac:dyDescent="0.45"/>
  <cols>
    <col min="1" max="1" width="16.1328125" customWidth="1"/>
    <col min="2" max="2" width="11.73046875" customWidth="1"/>
    <col min="3" max="3" width="16.3984375" customWidth="1"/>
    <col min="4" max="5" width="11.73046875" bestFit="1" customWidth="1"/>
    <col min="6" max="6" width="22.53125" customWidth="1"/>
  </cols>
  <sheetData>
    <row r="1" spans="1:7" x14ac:dyDescent="0.4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88</v>
      </c>
    </row>
    <row r="2" spans="1:7" x14ac:dyDescent="0.45">
      <c r="A2" s="5">
        <v>2009</v>
      </c>
      <c r="B2" s="3">
        <v>188</v>
      </c>
      <c r="C2" s="3">
        <v>5128.9435720278207</v>
      </c>
      <c r="D2" s="4">
        <v>1.4630350194552531E-2</v>
      </c>
      <c r="E2" s="4">
        <v>1.6149703311383341E-2</v>
      </c>
      <c r="F2" s="6">
        <v>3.6654721846680558</v>
      </c>
      <c r="G2">
        <f t="shared" ref="G2:G17" si="0">$F$17</f>
        <v>4.0461292786114162</v>
      </c>
    </row>
    <row r="3" spans="1:7" x14ac:dyDescent="0.45">
      <c r="A3" s="5">
        <v>2010</v>
      </c>
      <c r="B3" s="3">
        <v>367</v>
      </c>
      <c r="C3" s="3">
        <v>10505.6820960558</v>
      </c>
      <c r="D3" s="4">
        <v>2.856031128404669E-2</v>
      </c>
      <c r="E3" s="4">
        <v>3.30796481872647E-2</v>
      </c>
      <c r="F3" s="6">
        <v>3.4933476631449238</v>
      </c>
      <c r="G3">
        <f t="shared" si="0"/>
        <v>4.0461292786114162</v>
      </c>
    </row>
    <row r="4" spans="1:7" x14ac:dyDescent="0.45">
      <c r="A4" s="5">
        <v>2011</v>
      </c>
      <c r="B4" s="3">
        <v>544</v>
      </c>
      <c r="C4" s="3">
        <v>16088.437898835449</v>
      </c>
      <c r="D4" s="4">
        <v>4.2334630350194552E-2</v>
      </c>
      <c r="E4" s="4">
        <v>5.0658287649493892E-2</v>
      </c>
      <c r="F4" s="6">
        <v>3.381310251627208</v>
      </c>
      <c r="G4">
        <f t="shared" si="0"/>
        <v>4.0461292786114162</v>
      </c>
    </row>
    <row r="5" spans="1:7" x14ac:dyDescent="0.45">
      <c r="A5" s="5">
        <v>2012</v>
      </c>
      <c r="B5" s="3">
        <v>714</v>
      </c>
      <c r="C5" s="3">
        <v>21807.185329150219</v>
      </c>
      <c r="D5" s="4">
        <v>5.5564202334630351E-2</v>
      </c>
      <c r="E5" s="4">
        <v>6.8665129217416368E-2</v>
      </c>
      <c r="F5" s="6">
        <v>3.2741501905134829</v>
      </c>
      <c r="G5">
        <f t="shared" si="0"/>
        <v>4.0461292786114162</v>
      </c>
    </row>
    <row r="6" spans="1:7" x14ac:dyDescent="0.45">
      <c r="A6" s="5">
        <v>2013</v>
      </c>
      <c r="B6" s="3">
        <v>935</v>
      </c>
      <c r="C6" s="3">
        <v>27290.97316691899</v>
      </c>
      <c r="D6" s="4">
        <v>7.2762645914396892E-2</v>
      </c>
      <c r="E6" s="4">
        <v>8.5932144414373107E-2</v>
      </c>
      <c r="F6" s="6">
        <v>3.4260412565037042</v>
      </c>
      <c r="G6">
        <f t="shared" si="0"/>
        <v>4.0461292786114162</v>
      </c>
    </row>
    <row r="7" spans="1:7" x14ac:dyDescent="0.45">
      <c r="A7" s="5">
        <v>2014</v>
      </c>
      <c r="B7" s="3">
        <v>1058</v>
      </c>
      <c r="C7" s="3">
        <v>28281.526188599499</v>
      </c>
      <c r="D7" s="4">
        <v>8.2334630350194546E-2</v>
      </c>
      <c r="E7" s="4">
        <v>8.9051137085998433E-2</v>
      </c>
      <c r="F7" s="6">
        <v>3.7409579417481651</v>
      </c>
      <c r="G7">
        <f t="shared" si="0"/>
        <v>4.0461292786114162</v>
      </c>
    </row>
    <row r="8" spans="1:7" x14ac:dyDescent="0.45">
      <c r="A8" s="5">
        <v>2015</v>
      </c>
      <c r="B8" s="3">
        <v>1029</v>
      </c>
      <c r="C8" s="3">
        <v>29592.23407055296</v>
      </c>
      <c r="D8" s="4">
        <v>8.0077821011673156E-2</v>
      </c>
      <c r="E8" s="4">
        <v>9.3178213768394275E-2</v>
      </c>
      <c r="F8" s="6">
        <v>3.477263654872043</v>
      </c>
      <c r="G8">
        <f t="shared" si="0"/>
        <v>4.0461292786114162</v>
      </c>
    </row>
    <row r="9" spans="1:7" x14ac:dyDescent="0.45">
      <c r="A9" s="5">
        <v>2016</v>
      </c>
      <c r="B9" s="3">
        <v>1198</v>
      </c>
      <c r="C9" s="3">
        <v>31654.667014703969</v>
      </c>
      <c r="D9" s="4">
        <v>9.3229571984435794E-2</v>
      </c>
      <c r="E9" s="4">
        <v>9.9672276274621635E-2</v>
      </c>
      <c r="F9" s="6">
        <v>3.7845920143260852</v>
      </c>
      <c r="G9">
        <f t="shared" si="0"/>
        <v>4.0461292786114162</v>
      </c>
    </row>
    <row r="10" spans="1:7" x14ac:dyDescent="0.45">
      <c r="A10" s="5">
        <v>2017</v>
      </c>
      <c r="B10" s="3">
        <v>1301</v>
      </c>
      <c r="C10" s="3">
        <v>31779.222433350551</v>
      </c>
      <c r="D10" s="4">
        <v>0.1012451361867704</v>
      </c>
      <c r="E10" s="4">
        <v>0.10006446874636921</v>
      </c>
      <c r="F10" s="6">
        <v>4.0938698318643318</v>
      </c>
      <c r="G10">
        <f t="shared" si="0"/>
        <v>4.0461292786114162</v>
      </c>
    </row>
    <row r="11" spans="1:7" x14ac:dyDescent="0.45">
      <c r="A11" s="5">
        <v>2018</v>
      </c>
      <c r="B11" s="3">
        <v>1307</v>
      </c>
      <c r="C11" s="3">
        <v>31207.104272191471</v>
      </c>
      <c r="D11" s="4">
        <v>0.1017120622568093</v>
      </c>
      <c r="E11" s="4">
        <v>9.8263018129488969E-2</v>
      </c>
      <c r="F11" s="6">
        <v>4.1881489182726339</v>
      </c>
      <c r="G11">
        <f t="shared" si="0"/>
        <v>4.0461292786114162</v>
      </c>
    </row>
    <row r="12" spans="1:7" x14ac:dyDescent="0.45">
      <c r="A12" s="5">
        <v>2019</v>
      </c>
      <c r="B12" s="3">
        <v>1278</v>
      </c>
      <c r="C12" s="3">
        <v>29270.67889655094</v>
      </c>
      <c r="D12" s="4">
        <v>9.945525291828794E-2</v>
      </c>
      <c r="E12" s="4">
        <v>9.2165720535539369E-2</v>
      </c>
      <c r="F12" s="6">
        <v>4.3661440327938239</v>
      </c>
      <c r="G12">
        <f t="shared" si="0"/>
        <v>4.0461292786114162</v>
      </c>
    </row>
    <row r="13" spans="1:7" x14ac:dyDescent="0.45">
      <c r="A13" s="5">
        <v>2020</v>
      </c>
      <c r="B13" s="3">
        <v>1160</v>
      </c>
      <c r="C13" s="3">
        <v>23502.291768442621</v>
      </c>
      <c r="D13" s="4">
        <v>9.027237354085603E-2</v>
      </c>
      <c r="E13" s="4">
        <v>7.4002576528220829E-2</v>
      </c>
      <c r="F13" s="6">
        <v>4.9356888742125742</v>
      </c>
      <c r="G13">
        <f t="shared" si="0"/>
        <v>4.0461292786114162</v>
      </c>
    </row>
    <row r="14" spans="1:7" x14ac:dyDescent="0.45">
      <c r="A14" s="5">
        <v>2021</v>
      </c>
      <c r="B14" s="3">
        <v>879</v>
      </c>
      <c r="C14" s="3">
        <v>16979.508849492529</v>
      </c>
      <c r="D14" s="4">
        <v>6.8404669260700393E-2</v>
      </c>
      <c r="E14" s="4">
        <v>5.3464037270329473E-2</v>
      </c>
      <c r="F14" s="6">
        <v>5.1768281862067589</v>
      </c>
      <c r="G14">
        <f t="shared" si="0"/>
        <v>4.0461292786114162</v>
      </c>
    </row>
    <row r="15" spans="1:7" x14ac:dyDescent="0.45">
      <c r="A15" s="5">
        <v>2022</v>
      </c>
      <c r="B15" s="3">
        <v>635</v>
      </c>
      <c r="C15" s="3">
        <v>10636.289535626811</v>
      </c>
      <c r="D15" s="4">
        <v>4.941634241245136E-2</v>
      </c>
      <c r="E15" s="4">
        <v>3.3490896891741513E-2</v>
      </c>
      <c r="F15" s="6">
        <v>5.9701270623842504</v>
      </c>
      <c r="G15">
        <f t="shared" si="0"/>
        <v>4.0461292786114162</v>
      </c>
    </row>
    <row r="16" spans="1:7" x14ac:dyDescent="0.45">
      <c r="A16" s="5">
        <v>2023</v>
      </c>
      <c r="B16" s="3">
        <v>257</v>
      </c>
      <c r="C16" s="3">
        <v>3862.7345742392081</v>
      </c>
      <c r="D16" s="4">
        <v>0.02</v>
      </c>
      <c r="E16" s="4">
        <v>1.2162741989364871E-2</v>
      </c>
      <c r="F16" s="6">
        <v>6.6533176189207346</v>
      </c>
      <c r="G16">
        <f t="shared" si="0"/>
        <v>4.0461292786114162</v>
      </c>
    </row>
    <row r="17" spans="1:7" x14ac:dyDescent="0.45">
      <c r="A17" s="10" t="s">
        <v>87</v>
      </c>
      <c r="B17" s="11">
        <f>SUM(B2:B16)</f>
        <v>12850</v>
      </c>
      <c r="C17" s="11">
        <f t="shared" ref="C17:F17" si="1">SUM(C2:C16)</f>
        <v>317587.47966673889</v>
      </c>
      <c r="D17" s="11">
        <f t="shared" si="1"/>
        <v>1</v>
      </c>
      <c r="E17" s="11">
        <f t="shared" si="1"/>
        <v>1.0000000000000002</v>
      </c>
      <c r="F17" s="12">
        <f>B17/C17*100</f>
        <v>4.0461292786114162</v>
      </c>
      <c r="G17">
        <f t="shared" si="0"/>
        <v>4.0461292786114162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78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6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>
        <v>1929</v>
      </c>
      <c r="B2">
        <v>36</v>
      </c>
      <c r="C2">
        <v>837.21915784937335</v>
      </c>
      <c r="D2">
        <v>2.8015564202334628E-3</v>
      </c>
      <c r="E2">
        <v>2.6361843946994109E-3</v>
      </c>
      <c r="F2">
        <v>4.2999493815306202</v>
      </c>
    </row>
    <row r="3" spans="1:6" x14ac:dyDescent="0.45">
      <c r="A3">
        <v>1930</v>
      </c>
      <c r="B3">
        <v>86</v>
      </c>
      <c r="C3">
        <v>1740.7208167958611</v>
      </c>
      <c r="D3">
        <v>6.6926070038910504E-3</v>
      </c>
      <c r="E3">
        <v>5.4810750682693487E-3</v>
      </c>
      <c r="F3">
        <v>4.9404820790446982</v>
      </c>
    </row>
    <row r="4" spans="1:6" x14ac:dyDescent="0.45">
      <c r="A4">
        <v>1931</v>
      </c>
      <c r="B4">
        <v>107</v>
      </c>
      <c r="C4">
        <v>2609.8199252397499</v>
      </c>
      <c r="D4">
        <v>8.3268482490272376E-3</v>
      </c>
      <c r="E4">
        <v>8.2176410983782183E-3</v>
      </c>
      <c r="F4">
        <v>4.0998997273794853</v>
      </c>
    </row>
    <row r="5" spans="1:6" x14ac:dyDescent="0.45">
      <c r="A5">
        <v>1932</v>
      </c>
      <c r="B5">
        <v>152</v>
      </c>
      <c r="C5">
        <v>3506.3725446209151</v>
      </c>
      <c r="D5">
        <v>1.182879377431907E-2</v>
      </c>
      <c r="E5">
        <v>1.104065106187541E-2</v>
      </c>
      <c r="F5">
        <v>4.3349643560602651</v>
      </c>
    </row>
    <row r="6" spans="1:6" x14ac:dyDescent="0.45">
      <c r="A6">
        <v>1933</v>
      </c>
      <c r="B6">
        <v>179</v>
      </c>
      <c r="C6">
        <v>4266.1299659782762</v>
      </c>
      <c r="D6">
        <v>1.392996108949416E-2</v>
      </c>
      <c r="E6">
        <v>1.343292868615271E-2</v>
      </c>
      <c r="F6">
        <v>4.1958402914936297</v>
      </c>
    </row>
    <row r="7" spans="1:6" x14ac:dyDescent="0.45">
      <c r="A7">
        <v>1934</v>
      </c>
      <c r="B7">
        <v>178</v>
      </c>
      <c r="C7">
        <v>4340.540411844212</v>
      </c>
      <c r="D7">
        <v>1.3852140077821011E-2</v>
      </c>
      <c r="E7">
        <v>1.366722773957893E-2</v>
      </c>
      <c r="F7">
        <v>4.1008718525989076</v>
      </c>
    </row>
    <row r="8" spans="1:6" x14ac:dyDescent="0.45">
      <c r="A8">
        <v>1935</v>
      </c>
      <c r="B8">
        <v>203</v>
      </c>
      <c r="C8">
        <v>4293.0272226102607</v>
      </c>
      <c r="D8">
        <v>1.579766536964981E-2</v>
      </c>
      <c r="E8">
        <v>1.3517621120061661E-2</v>
      </c>
      <c r="F8">
        <v>4.728598014260232</v>
      </c>
    </row>
    <row r="9" spans="1:6" x14ac:dyDescent="0.45">
      <c r="A9">
        <v>1936</v>
      </c>
      <c r="B9">
        <v>175</v>
      </c>
      <c r="C9">
        <v>4396.1923207275186</v>
      </c>
      <c r="D9">
        <v>1.361867704280156E-2</v>
      </c>
      <c r="E9">
        <v>1.384246106093563E-2</v>
      </c>
      <c r="F9">
        <v>3.9807175672205242</v>
      </c>
    </row>
    <row r="10" spans="1:6" x14ac:dyDescent="0.45">
      <c r="A10">
        <v>1937</v>
      </c>
      <c r="B10">
        <v>181</v>
      </c>
      <c r="C10">
        <v>4338.7416420430663</v>
      </c>
      <c r="D10">
        <v>1.408560311284047E-2</v>
      </c>
      <c r="E10">
        <v>1.366156388342492E-2</v>
      </c>
      <c r="F10">
        <v>4.1717164775630442</v>
      </c>
    </row>
    <row r="11" spans="1:6" x14ac:dyDescent="0.45">
      <c r="A11">
        <v>1938</v>
      </c>
      <c r="B11">
        <v>172</v>
      </c>
      <c r="C11">
        <v>4313.103787279525</v>
      </c>
      <c r="D11">
        <v>1.3385214007782101E-2</v>
      </c>
      <c r="E11">
        <v>1.358083697696613E-2</v>
      </c>
      <c r="F11">
        <v>3.9878474639834338</v>
      </c>
    </row>
    <row r="12" spans="1:6" x14ac:dyDescent="0.45">
      <c r="A12">
        <v>1939</v>
      </c>
      <c r="B12">
        <v>182</v>
      </c>
      <c r="C12">
        <v>4353.1610723431731</v>
      </c>
      <c r="D12">
        <v>1.4163424124513621E-2</v>
      </c>
      <c r="E12">
        <v>1.370696690219392E-2</v>
      </c>
      <c r="F12">
        <v>4.1808698776688038</v>
      </c>
    </row>
    <row r="13" spans="1:6" x14ac:dyDescent="0.45">
      <c r="A13">
        <v>1940</v>
      </c>
      <c r="B13">
        <v>194</v>
      </c>
      <c r="C13">
        <v>4358.1226934476363</v>
      </c>
      <c r="D13">
        <v>1.5097276264591441E-2</v>
      </c>
      <c r="E13">
        <v>1.372258975076991E-2</v>
      </c>
      <c r="F13">
        <v>4.4514579704622754</v>
      </c>
    </row>
    <row r="14" spans="1:6" x14ac:dyDescent="0.45">
      <c r="A14">
        <v>1941</v>
      </c>
      <c r="B14">
        <v>151</v>
      </c>
      <c r="C14">
        <v>4231.3832002610388</v>
      </c>
      <c r="D14">
        <v>1.175097276264591E-2</v>
      </c>
      <c r="E14">
        <v>1.332352019891102E-2</v>
      </c>
      <c r="F14">
        <v>3.5685730375515181</v>
      </c>
    </row>
    <row r="15" spans="1:6" x14ac:dyDescent="0.45">
      <c r="A15">
        <v>1942</v>
      </c>
      <c r="B15">
        <v>182</v>
      </c>
      <c r="C15">
        <v>4213.9283602144733</v>
      </c>
      <c r="D15">
        <v>1.4163424124513621E-2</v>
      </c>
      <c r="E15">
        <v>1.3268559467886991E-2</v>
      </c>
      <c r="F15">
        <v>4.3190103020815682</v>
      </c>
    </row>
    <row r="16" spans="1:6" x14ac:dyDescent="0.45">
      <c r="A16">
        <v>1943</v>
      </c>
      <c r="B16">
        <v>164</v>
      </c>
      <c r="C16">
        <v>4256.5078477558263</v>
      </c>
      <c r="D16">
        <v>1.2762645914396889E-2</v>
      </c>
      <c r="E16">
        <v>1.340263114976196E-2</v>
      </c>
      <c r="F16">
        <v>3.8529237080219709</v>
      </c>
    </row>
    <row r="17" spans="1:6" x14ac:dyDescent="0.45">
      <c r="A17">
        <v>1944</v>
      </c>
      <c r="B17">
        <v>168</v>
      </c>
      <c r="C17">
        <v>4404.24838343787</v>
      </c>
      <c r="D17">
        <v>1.3073929961089491E-2</v>
      </c>
      <c r="E17">
        <v>1.386782749766923E-2</v>
      </c>
      <c r="F17">
        <v>3.814498760600384</v>
      </c>
    </row>
    <row r="18" spans="1:6" x14ac:dyDescent="0.45">
      <c r="A18">
        <v>1945</v>
      </c>
      <c r="B18">
        <v>140</v>
      </c>
      <c r="C18">
        <v>4178.7336284183593</v>
      </c>
      <c r="D18">
        <v>1.0894941634241239E-2</v>
      </c>
      <c r="E18">
        <v>1.3157740452499331E-2</v>
      </c>
      <c r="F18">
        <v>3.3502973017447308</v>
      </c>
    </row>
    <row r="19" spans="1:6" x14ac:dyDescent="0.45">
      <c r="A19">
        <v>1946</v>
      </c>
      <c r="B19">
        <v>154</v>
      </c>
      <c r="C19">
        <v>4370.724181247766</v>
      </c>
      <c r="D19">
        <v>1.1984435797665369E-2</v>
      </c>
      <c r="E19">
        <v>1.3762268543565369E-2</v>
      </c>
      <c r="F19">
        <v>3.5234435671032358</v>
      </c>
    </row>
    <row r="20" spans="1:6" x14ac:dyDescent="0.45">
      <c r="A20">
        <v>1947</v>
      </c>
      <c r="B20">
        <v>149</v>
      </c>
      <c r="C20">
        <v>4370.0810728849492</v>
      </c>
      <c r="D20">
        <v>1.159533073929961E-2</v>
      </c>
      <c r="E20">
        <v>1.376024356335049E-2</v>
      </c>
      <c r="F20">
        <v>3.409547729549014</v>
      </c>
    </row>
    <row r="21" spans="1:6" x14ac:dyDescent="0.45">
      <c r="A21">
        <v>1948</v>
      </c>
      <c r="B21">
        <v>149</v>
      </c>
      <c r="C21">
        <v>4292.494502020576</v>
      </c>
      <c r="D21">
        <v>1.159533073929961E-2</v>
      </c>
      <c r="E21">
        <v>1.3515943722104269E-2</v>
      </c>
      <c r="F21">
        <v>3.4711750924750691</v>
      </c>
    </row>
    <row r="22" spans="1:6" x14ac:dyDescent="0.45">
      <c r="A22">
        <v>1949</v>
      </c>
      <c r="B22">
        <v>143</v>
      </c>
      <c r="C22">
        <v>4267.3267329193632</v>
      </c>
      <c r="D22">
        <v>1.11284046692607E-2</v>
      </c>
      <c r="E22">
        <v>1.3436696992580731E-2</v>
      </c>
      <c r="F22">
        <v>3.3510440833334281</v>
      </c>
    </row>
    <row r="23" spans="1:6" x14ac:dyDescent="0.45">
      <c r="A23">
        <v>1950</v>
      </c>
      <c r="B23">
        <v>150</v>
      </c>
      <c r="C23">
        <v>4339.4594234241358</v>
      </c>
      <c r="D23">
        <v>1.1673151750972759E-2</v>
      </c>
      <c r="E23">
        <v>1.3663823989465069E-2</v>
      </c>
      <c r="F23">
        <v>3.4566517476879541</v>
      </c>
    </row>
    <row r="24" spans="1:6" x14ac:dyDescent="0.45">
      <c r="A24">
        <v>1951</v>
      </c>
      <c r="B24">
        <v>177</v>
      </c>
      <c r="C24">
        <v>4422.3226308061776</v>
      </c>
      <c r="D24">
        <v>1.377431906614786E-2</v>
      </c>
      <c r="E24">
        <v>1.392473858052198E-2</v>
      </c>
      <c r="F24">
        <v>4.0024216859938448</v>
      </c>
    </row>
    <row r="25" spans="1:6" x14ac:dyDescent="0.45">
      <c r="A25">
        <v>1952</v>
      </c>
      <c r="B25">
        <v>148</v>
      </c>
      <c r="C25">
        <v>4369.0185968009382</v>
      </c>
      <c r="D25">
        <v>1.151750972762646E-2</v>
      </c>
      <c r="E25">
        <v>1.375689810374634E-2</v>
      </c>
      <c r="F25">
        <v>3.38748844210386</v>
      </c>
    </row>
    <row r="26" spans="1:6" x14ac:dyDescent="0.45">
      <c r="A26">
        <v>1953</v>
      </c>
      <c r="B26">
        <v>116</v>
      </c>
      <c r="C26">
        <v>4334.3819773266414</v>
      </c>
      <c r="D26">
        <v>9.0272373540856033E-3</v>
      </c>
      <c r="E26">
        <v>1.364783643824667E-2</v>
      </c>
      <c r="F26">
        <v>2.6762754322715789</v>
      </c>
    </row>
    <row r="27" spans="1:6" x14ac:dyDescent="0.45">
      <c r="A27">
        <v>1954</v>
      </c>
      <c r="B27">
        <v>171</v>
      </c>
      <c r="C27">
        <v>4331.120046069308</v>
      </c>
      <c r="D27">
        <v>1.330739299610895E-2</v>
      </c>
      <c r="E27">
        <v>1.3637565468935299E-2</v>
      </c>
      <c r="F27">
        <v>3.9481704081416642</v>
      </c>
    </row>
    <row r="28" spans="1:6" x14ac:dyDescent="0.45">
      <c r="A28">
        <v>1955</v>
      </c>
      <c r="B28">
        <v>146</v>
      </c>
      <c r="C28">
        <v>4326.3780154226024</v>
      </c>
      <c r="D28">
        <v>1.136186770428016E-2</v>
      </c>
      <c r="E28">
        <v>1.362263405334019E-2</v>
      </c>
      <c r="F28">
        <v>3.374647325766301</v>
      </c>
    </row>
    <row r="29" spans="1:6" x14ac:dyDescent="0.45">
      <c r="A29">
        <v>1956</v>
      </c>
      <c r="B29">
        <v>162</v>
      </c>
      <c r="C29">
        <v>4404.5678507115199</v>
      </c>
      <c r="D29">
        <v>1.2607003891050581E-2</v>
      </c>
      <c r="E29">
        <v>1.386883341664937E-2</v>
      </c>
      <c r="F29">
        <v>3.6779998740133002</v>
      </c>
    </row>
    <row r="30" spans="1:6" x14ac:dyDescent="0.45">
      <c r="A30">
        <v>1957</v>
      </c>
      <c r="B30">
        <v>158</v>
      </c>
      <c r="C30">
        <v>4434.0040918831901</v>
      </c>
      <c r="D30">
        <v>1.2295719844357979E-2</v>
      </c>
      <c r="E30">
        <v>1.396152044953416E-2</v>
      </c>
      <c r="F30">
        <v>3.5633706403030172</v>
      </c>
    </row>
    <row r="31" spans="1:6" x14ac:dyDescent="0.45">
      <c r="A31">
        <v>1958</v>
      </c>
      <c r="B31">
        <v>159</v>
      </c>
      <c r="C31">
        <v>4434.693856385732</v>
      </c>
      <c r="D31">
        <v>1.237354085603113E-2</v>
      </c>
      <c r="E31">
        <v>1.3963692337743571E-2</v>
      </c>
      <c r="F31">
        <v>3.58536587077027</v>
      </c>
    </row>
    <row r="32" spans="1:6" x14ac:dyDescent="0.45">
      <c r="A32">
        <v>1959</v>
      </c>
      <c r="B32">
        <v>131</v>
      </c>
      <c r="C32">
        <v>4310.8649364766316</v>
      </c>
      <c r="D32">
        <v>1.0194552529182881E-2</v>
      </c>
      <c r="E32">
        <v>1.3573787420713961E-2</v>
      </c>
      <c r="F32">
        <v>3.038833318379706</v>
      </c>
    </row>
    <row r="33" spans="1:6" x14ac:dyDescent="0.45">
      <c r="A33">
        <v>1960</v>
      </c>
      <c r="B33">
        <v>155</v>
      </c>
      <c r="C33">
        <v>4378.8750768975842</v>
      </c>
      <c r="D33">
        <v>1.206225680933852E-2</v>
      </c>
      <c r="E33">
        <v>1.378793358444913E-2</v>
      </c>
      <c r="F33">
        <v>3.5397218983880419</v>
      </c>
    </row>
    <row r="34" spans="1:6" x14ac:dyDescent="0.45">
      <c r="A34">
        <v>1961</v>
      </c>
      <c r="B34">
        <v>130</v>
      </c>
      <c r="C34">
        <v>4392.6271167383202</v>
      </c>
      <c r="D34">
        <v>1.011673151750973E-2</v>
      </c>
      <c r="E34">
        <v>1.383123516502519E-2</v>
      </c>
      <c r="F34">
        <v>2.9595045640142921</v>
      </c>
    </row>
    <row r="35" spans="1:6" x14ac:dyDescent="0.45">
      <c r="A35">
        <v>1962</v>
      </c>
      <c r="B35">
        <v>161</v>
      </c>
      <c r="C35">
        <v>4443.338184717998</v>
      </c>
      <c r="D35">
        <v>1.252918287937743E-2</v>
      </c>
      <c r="E35">
        <v>1.3990911069229259E-2</v>
      </c>
      <c r="F35">
        <v>3.623401895307639</v>
      </c>
    </row>
    <row r="36" spans="1:6" x14ac:dyDescent="0.45">
      <c r="A36">
        <v>1963</v>
      </c>
      <c r="B36">
        <v>181</v>
      </c>
      <c r="C36">
        <v>4611.8194467696476</v>
      </c>
      <c r="D36">
        <v>1.408560311284047E-2</v>
      </c>
      <c r="E36">
        <v>1.452141454571531E-2</v>
      </c>
      <c r="F36">
        <v>3.9246983124367878</v>
      </c>
    </row>
    <row r="37" spans="1:6" x14ac:dyDescent="0.45">
      <c r="A37">
        <v>1964</v>
      </c>
      <c r="B37">
        <v>189</v>
      </c>
      <c r="C37">
        <v>4591.5837331720277</v>
      </c>
      <c r="D37">
        <v>1.470817120622568E-2</v>
      </c>
      <c r="E37">
        <v>1.4457697570414979E-2</v>
      </c>
      <c r="F37">
        <v>4.1162267963135264</v>
      </c>
    </row>
    <row r="38" spans="1:6" x14ac:dyDescent="0.45">
      <c r="A38">
        <v>1965</v>
      </c>
      <c r="B38">
        <v>170</v>
      </c>
      <c r="C38">
        <v>4615.858609680512</v>
      </c>
      <c r="D38">
        <v>1.3229571984435799E-2</v>
      </c>
      <c r="E38">
        <v>1.453413281444273E-2</v>
      </c>
      <c r="F38">
        <v>3.6829550983964521</v>
      </c>
    </row>
    <row r="39" spans="1:6" x14ac:dyDescent="0.45">
      <c r="A39">
        <v>1966</v>
      </c>
      <c r="B39">
        <v>166</v>
      </c>
      <c r="C39">
        <v>4593.0463922918916</v>
      </c>
      <c r="D39">
        <v>1.2918287937743189E-2</v>
      </c>
      <c r="E39">
        <v>1.446230310184651E-2</v>
      </c>
      <c r="F39">
        <v>3.614159009553731</v>
      </c>
    </row>
    <row r="40" spans="1:6" x14ac:dyDescent="0.45">
      <c r="A40">
        <v>1967</v>
      </c>
      <c r="B40">
        <v>197</v>
      </c>
      <c r="C40">
        <v>4693.1134008147683</v>
      </c>
      <c r="D40">
        <v>1.5330739299610889E-2</v>
      </c>
      <c r="E40">
        <v>1.4777387968000179E-2</v>
      </c>
      <c r="F40">
        <v>4.1976398858335484</v>
      </c>
    </row>
    <row r="41" spans="1:6" x14ac:dyDescent="0.45">
      <c r="A41">
        <v>1968</v>
      </c>
      <c r="B41">
        <v>183</v>
      </c>
      <c r="C41">
        <v>4631.0328428512066</v>
      </c>
      <c r="D41">
        <v>1.424124513618677E-2</v>
      </c>
      <c r="E41">
        <v>1.458191251025006E-2</v>
      </c>
      <c r="F41">
        <v>3.951602292833917</v>
      </c>
    </row>
    <row r="42" spans="1:6" x14ac:dyDescent="0.45">
      <c r="A42">
        <v>1969</v>
      </c>
      <c r="B42">
        <v>162</v>
      </c>
      <c r="C42">
        <v>4721.3823386648164</v>
      </c>
      <c r="D42">
        <v>1.2607003891050581E-2</v>
      </c>
      <c r="E42">
        <v>1.486639946769693E-2</v>
      </c>
      <c r="F42">
        <v>3.431198500348795</v>
      </c>
    </row>
    <row r="43" spans="1:6" x14ac:dyDescent="0.45">
      <c r="A43">
        <v>1970</v>
      </c>
      <c r="B43">
        <v>199</v>
      </c>
      <c r="C43">
        <v>4868.4409012367878</v>
      </c>
      <c r="D43">
        <v>1.54863813229572E-2</v>
      </c>
      <c r="E43">
        <v>1.5329448460454099E-2</v>
      </c>
      <c r="F43">
        <v>4.0875509025783936</v>
      </c>
    </row>
    <row r="44" spans="1:6" x14ac:dyDescent="0.45">
      <c r="A44">
        <v>1971</v>
      </c>
      <c r="B44">
        <v>172</v>
      </c>
      <c r="C44">
        <v>4516.6399067658749</v>
      </c>
      <c r="D44">
        <v>1.3385214007782101E-2</v>
      </c>
      <c r="E44">
        <v>1.422171904101957E-2</v>
      </c>
      <c r="F44">
        <v>3.8081406432765639</v>
      </c>
    </row>
    <row r="45" spans="1:6" x14ac:dyDescent="0.45">
      <c r="A45">
        <v>1972</v>
      </c>
      <c r="B45">
        <v>183</v>
      </c>
      <c r="C45">
        <v>4444.5536767749609</v>
      </c>
      <c r="D45">
        <v>1.424124513618677E-2</v>
      </c>
      <c r="E45">
        <v>1.399473833615501E-2</v>
      </c>
      <c r="F45">
        <v>4.1173988055598807</v>
      </c>
    </row>
    <row r="46" spans="1:6" x14ac:dyDescent="0.45">
      <c r="A46">
        <v>1973</v>
      </c>
      <c r="B46">
        <v>160</v>
      </c>
      <c r="C46">
        <v>4333.3996052235971</v>
      </c>
      <c r="D46">
        <v>1.2451361867704279E-2</v>
      </c>
      <c r="E46">
        <v>1.364474320515047E-2</v>
      </c>
      <c r="F46">
        <v>3.6922512248150769</v>
      </c>
    </row>
    <row r="47" spans="1:6" x14ac:dyDescent="0.45">
      <c r="A47">
        <v>1974</v>
      </c>
      <c r="B47">
        <v>185</v>
      </c>
      <c r="C47">
        <v>4421.9473941872202</v>
      </c>
      <c r="D47">
        <v>1.439688715953307E-2</v>
      </c>
      <c r="E47">
        <v>1.3923557058443869E-2</v>
      </c>
      <c r="F47">
        <v>4.1836770885874381</v>
      </c>
    </row>
    <row r="48" spans="1:6" x14ac:dyDescent="0.45">
      <c r="A48">
        <v>1975</v>
      </c>
      <c r="B48">
        <v>138</v>
      </c>
      <c r="C48">
        <v>4270.2713188526714</v>
      </c>
      <c r="D48">
        <v>1.073929961089494E-2</v>
      </c>
      <c r="E48">
        <v>1.344596872437695E-2</v>
      </c>
      <c r="F48">
        <v>3.2316447760766072</v>
      </c>
    </row>
    <row r="49" spans="1:6" x14ac:dyDescent="0.45">
      <c r="A49">
        <v>1976</v>
      </c>
      <c r="B49">
        <v>158</v>
      </c>
      <c r="C49">
        <v>4432.3728932328549</v>
      </c>
      <c r="D49">
        <v>1.2295719844357979E-2</v>
      </c>
      <c r="E49">
        <v>1.3956384231154121E-2</v>
      </c>
      <c r="F49">
        <v>3.564682029375895</v>
      </c>
    </row>
    <row r="50" spans="1:6" x14ac:dyDescent="0.45">
      <c r="A50">
        <v>1977</v>
      </c>
      <c r="B50">
        <v>163</v>
      </c>
      <c r="C50">
        <v>4365.1191669451609</v>
      </c>
      <c r="D50">
        <v>1.268482490272374E-2</v>
      </c>
      <c r="E50">
        <v>1.374461981790248E-2</v>
      </c>
      <c r="F50">
        <v>3.7341477693052809</v>
      </c>
    </row>
    <row r="51" spans="1:6" x14ac:dyDescent="0.45">
      <c r="A51">
        <v>1978</v>
      </c>
      <c r="B51">
        <v>154</v>
      </c>
      <c r="C51">
        <v>4322.9638099704798</v>
      </c>
      <c r="D51">
        <v>1.1984435797665369E-2</v>
      </c>
      <c r="E51">
        <v>1.3611883612372861E-2</v>
      </c>
      <c r="F51">
        <v>3.5623707893370411</v>
      </c>
    </row>
    <row r="52" spans="1:6" x14ac:dyDescent="0.45">
      <c r="A52">
        <v>1979</v>
      </c>
      <c r="B52">
        <v>175</v>
      </c>
      <c r="C52">
        <v>4370.0955531233221</v>
      </c>
      <c r="D52">
        <v>1.361867704280156E-2</v>
      </c>
      <c r="E52">
        <v>1.3760289157838E-2</v>
      </c>
      <c r="F52">
        <v>4.0044890980685057</v>
      </c>
    </row>
    <row r="53" spans="1:6" x14ac:dyDescent="0.45">
      <c r="A53">
        <v>1980</v>
      </c>
      <c r="B53">
        <v>152</v>
      </c>
      <c r="C53">
        <v>4396.7507129511769</v>
      </c>
      <c r="D53">
        <v>1.182879377431907E-2</v>
      </c>
      <c r="E53">
        <v>1.384421929216138E-2</v>
      </c>
      <c r="F53">
        <v>3.457098432992006</v>
      </c>
    </row>
    <row r="54" spans="1:6" x14ac:dyDescent="0.45">
      <c r="A54">
        <v>1981</v>
      </c>
      <c r="B54">
        <v>137</v>
      </c>
      <c r="C54">
        <v>4322.1521038918363</v>
      </c>
      <c r="D54">
        <v>1.0661478599221791E-2</v>
      </c>
      <c r="E54">
        <v>1.360932776199898E-2</v>
      </c>
      <c r="F54">
        <v>3.1697172312987272</v>
      </c>
    </row>
    <row r="55" spans="1:6" x14ac:dyDescent="0.45">
      <c r="A55">
        <v>1982</v>
      </c>
      <c r="B55">
        <v>138</v>
      </c>
      <c r="C55">
        <v>4324.4385422982496</v>
      </c>
      <c r="D55">
        <v>1.073929961089494E-2</v>
      </c>
      <c r="E55">
        <v>1.361652715918181E-2</v>
      </c>
      <c r="F55">
        <v>3.191165712038516</v>
      </c>
    </row>
    <row r="56" spans="1:6" x14ac:dyDescent="0.45">
      <c r="A56">
        <v>1983</v>
      </c>
      <c r="B56">
        <v>150</v>
      </c>
      <c r="C56">
        <v>4372.6708390298509</v>
      </c>
      <c r="D56">
        <v>1.1673151750972759E-2</v>
      </c>
      <c r="E56">
        <v>1.3768398060333869E-2</v>
      </c>
      <c r="F56">
        <v>3.4303977025007439</v>
      </c>
    </row>
    <row r="57" spans="1:6" x14ac:dyDescent="0.45">
      <c r="A57">
        <v>1984</v>
      </c>
      <c r="B57">
        <v>158</v>
      </c>
      <c r="C57">
        <v>4427.2891887283604</v>
      </c>
      <c r="D57">
        <v>1.2295719844357979E-2</v>
      </c>
      <c r="E57">
        <v>1.394037697384716E-2</v>
      </c>
      <c r="F57">
        <v>3.5687752316306658</v>
      </c>
    </row>
    <row r="58" spans="1:6" x14ac:dyDescent="0.45">
      <c r="A58">
        <v>1985</v>
      </c>
      <c r="B58">
        <v>152</v>
      </c>
      <c r="C58">
        <v>4388.3390341783179</v>
      </c>
      <c r="D58">
        <v>1.182879377431907E-2</v>
      </c>
      <c r="E58">
        <v>1.381773311335583E-2</v>
      </c>
      <c r="F58">
        <v>3.4637250863289508</v>
      </c>
    </row>
    <row r="59" spans="1:6" x14ac:dyDescent="0.45">
      <c r="A59">
        <v>1986</v>
      </c>
      <c r="B59">
        <v>135</v>
      </c>
      <c r="C59">
        <v>4350.2702606496778</v>
      </c>
      <c r="D59">
        <v>1.0505836575875491E-2</v>
      </c>
      <c r="E59">
        <v>1.369786449142971E-2</v>
      </c>
      <c r="F59">
        <v>3.103255474059647</v>
      </c>
    </row>
    <row r="60" spans="1:6" x14ac:dyDescent="0.45">
      <c r="A60">
        <v>1987</v>
      </c>
      <c r="B60">
        <v>138</v>
      </c>
      <c r="C60">
        <v>4266.1286266770048</v>
      </c>
      <c r="D60">
        <v>1.073929961089494E-2</v>
      </c>
      <c r="E60">
        <v>1.3432924469042909E-2</v>
      </c>
      <c r="F60">
        <v>3.2347829162265951</v>
      </c>
    </row>
    <row r="61" spans="1:6" x14ac:dyDescent="0.45">
      <c r="A61">
        <v>1988</v>
      </c>
      <c r="B61">
        <v>131</v>
      </c>
      <c r="C61">
        <v>4320.6352136309679</v>
      </c>
      <c r="D61">
        <v>1.0194552529182881E-2</v>
      </c>
      <c r="E61">
        <v>1.360455147087296E-2</v>
      </c>
      <c r="F61">
        <v>3.0319615871924182</v>
      </c>
    </row>
    <row r="62" spans="1:6" x14ac:dyDescent="0.45">
      <c r="A62">
        <v>1989</v>
      </c>
      <c r="B62">
        <v>118</v>
      </c>
      <c r="C62">
        <v>4282.9472656216167</v>
      </c>
      <c r="D62">
        <v>9.1828793774319066E-3</v>
      </c>
      <c r="E62">
        <v>1.348588196901193E-2</v>
      </c>
      <c r="F62">
        <v>2.7551121384837729</v>
      </c>
    </row>
    <row r="63" spans="1:6" x14ac:dyDescent="0.45">
      <c r="A63">
        <v>1990</v>
      </c>
      <c r="B63">
        <v>129</v>
      </c>
      <c r="C63">
        <v>4360.9942632953571</v>
      </c>
      <c r="D63">
        <v>1.0038910505836581E-2</v>
      </c>
      <c r="E63">
        <v>1.373163157398893E-2</v>
      </c>
      <c r="F63">
        <v>2.9580410386167761</v>
      </c>
    </row>
    <row r="64" spans="1:6" x14ac:dyDescent="0.45">
      <c r="A64">
        <v>1991</v>
      </c>
      <c r="B64">
        <v>168</v>
      </c>
      <c r="C64">
        <v>4268.5325142934153</v>
      </c>
      <c r="D64">
        <v>1.3073929961089491E-2</v>
      </c>
      <c r="E64">
        <v>1.344049368310303E-2</v>
      </c>
      <c r="F64">
        <v>3.935778852274002</v>
      </c>
    </row>
    <row r="65" spans="1:6" x14ac:dyDescent="0.45">
      <c r="A65">
        <v>1992</v>
      </c>
      <c r="B65">
        <v>150</v>
      </c>
      <c r="C65">
        <v>4275.0467057011092</v>
      </c>
      <c r="D65">
        <v>1.1673151750972759E-2</v>
      </c>
      <c r="E65">
        <v>1.346100516993661E-2</v>
      </c>
      <c r="F65">
        <v>3.5087335958216141</v>
      </c>
    </row>
    <row r="66" spans="1:6" x14ac:dyDescent="0.45">
      <c r="A66">
        <v>1993</v>
      </c>
      <c r="B66">
        <v>163</v>
      </c>
      <c r="C66">
        <v>4364.9745897226203</v>
      </c>
      <c r="D66">
        <v>1.268482490272374E-2</v>
      </c>
      <c r="E66">
        <v>1.3744164582001211E-2</v>
      </c>
      <c r="F66">
        <v>3.734271452204676</v>
      </c>
    </row>
    <row r="67" spans="1:6" x14ac:dyDescent="0.45">
      <c r="A67">
        <v>1994</v>
      </c>
      <c r="B67">
        <v>159</v>
      </c>
      <c r="C67">
        <v>4376.9996893122861</v>
      </c>
      <c r="D67">
        <v>1.237354085603113E-2</v>
      </c>
      <c r="E67">
        <v>1.378202847891013E-2</v>
      </c>
      <c r="F67">
        <v>3.6326253435257172</v>
      </c>
    </row>
    <row r="68" spans="1:6" x14ac:dyDescent="0.45">
      <c r="A68">
        <v>1995</v>
      </c>
      <c r="B68">
        <v>185</v>
      </c>
      <c r="C68">
        <v>4307.6437059471036</v>
      </c>
      <c r="D68">
        <v>1.439688715953307E-2</v>
      </c>
      <c r="E68">
        <v>1.356364460736091E-2</v>
      </c>
      <c r="F68">
        <v>4.2946913122037058</v>
      </c>
    </row>
    <row r="69" spans="1:6" x14ac:dyDescent="0.45">
      <c r="A69">
        <v>1996</v>
      </c>
      <c r="B69">
        <v>219</v>
      </c>
      <c r="C69">
        <v>4405.352949460691</v>
      </c>
      <c r="D69">
        <v>1.7042801556420229E-2</v>
      </c>
      <c r="E69">
        <v>1.387130548749421E-2</v>
      </c>
      <c r="F69">
        <v>4.9712248374289798</v>
      </c>
    </row>
    <row r="70" spans="1:6" x14ac:dyDescent="0.45">
      <c r="A70">
        <v>1997</v>
      </c>
      <c r="B70">
        <v>241</v>
      </c>
      <c r="C70">
        <v>4162.923075760712</v>
      </c>
      <c r="D70">
        <v>1.8754863813229571E-2</v>
      </c>
      <c r="E70">
        <v>1.3107957152873551E-2</v>
      </c>
      <c r="F70">
        <v>5.7892013763900936</v>
      </c>
    </row>
    <row r="71" spans="1:6" x14ac:dyDescent="0.45">
      <c r="A71">
        <v>1998</v>
      </c>
      <c r="B71">
        <v>252</v>
      </c>
      <c r="C71">
        <v>4241.190091674237</v>
      </c>
      <c r="D71">
        <v>1.961089494163424E-2</v>
      </c>
      <c r="E71">
        <v>1.335439953780527E-2</v>
      </c>
      <c r="F71">
        <v>5.9417284901870877</v>
      </c>
    </row>
    <row r="72" spans="1:6" x14ac:dyDescent="0.45">
      <c r="A72">
        <v>1999</v>
      </c>
      <c r="B72">
        <v>299</v>
      </c>
      <c r="C72">
        <v>4354.2360910059824</v>
      </c>
      <c r="D72">
        <v>2.3268482490272371E-2</v>
      </c>
      <c r="E72">
        <v>1.371035185510181E-2</v>
      </c>
      <c r="F72">
        <v>6.8668761580844926</v>
      </c>
    </row>
    <row r="73" spans="1:6" x14ac:dyDescent="0.45">
      <c r="A73">
        <v>2000</v>
      </c>
      <c r="B73">
        <v>322</v>
      </c>
      <c r="C73">
        <v>4280.7014669744349</v>
      </c>
      <c r="D73">
        <v>2.505836575875486E-2</v>
      </c>
      <c r="E73">
        <v>1.3478810535813309E-2</v>
      </c>
      <c r="F73">
        <v>7.522131652586066</v>
      </c>
    </row>
    <row r="74" spans="1:6" x14ac:dyDescent="0.45">
      <c r="A74">
        <v>2001</v>
      </c>
      <c r="B74">
        <v>298</v>
      </c>
      <c r="C74">
        <v>3899.308152972962</v>
      </c>
      <c r="D74">
        <v>2.3190661478599221E-2</v>
      </c>
      <c r="E74">
        <v>1.2277902633519151E-2</v>
      </c>
      <c r="F74">
        <v>7.6423813740597772</v>
      </c>
    </row>
    <row r="75" spans="1:6" x14ac:dyDescent="0.45">
      <c r="A75">
        <v>2002</v>
      </c>
      <c r="B75">
        <v>293</v>
      </c>
      <c r="C75">
        <v>3159.7627298255029</v>
      </c>
      <c r="D75">
        <v>2.280155642023346E-2</v>
      </c>
      <c r="E75">
        <v>9.9492673109821822E-3</v>
      </c>
      <c r="F75">
        <v>9.2728481551581829</v>
      </c>
    </row>
    <row r="76" spans="1:6" x14ac:dyDescent="0.45">
      <c r="A76">
        <v>2003</v>
      </c>
      <c r="B76">
        <v>217</v>
      </c>
      <c r="C76">
        <v>2193.9371362212419</v>
      </c>
      <c r="D76">
        <v>1.6887159533073931E-2</v>
      </c>
      <c r="E76">
        <v>6.9081348500370831E-3</v>
      </c>
      <c r="F76">
        <v>9.8908941563272403</v>
      </c>
    </row>
    <row r="77" spans="1:6" x14ac:dyDescent="0.45">
      <c r="A77">
        <v>2004</v>
      </c>
      <c r="B77">
        <v>148</v>
      </c>
      <c r="C77">
        <v>1320.105346164675</v>
      </c>
      <c r="D77">
        <v>1.151750972762646E-2</v>
      </c>
      <c r="E77">
        <v>4.156666841998718E-3</v>
      </c>
      <c r="F77">
        <v>11.211226469916729</v>
      </c>
    </row>
    <row r="78" spans="1:6" x14ac:dyDescent="0.45">
      <c r="A78">
        <v>2005</v>
      </c>
      <c r="B78">
        <v>54</v>
      </c>
      <c r="C78">
        <v>500.27710659105799</v>
      </c>
      <c r="D78">
        <v>4.2023346303501942E-3</v>
      </c>
      <c r="E78">
        <v>1.5752419053673809E-3</v>
      </c>
      <c r="F78">
        <v>10.79401781304002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topLeftCell="A4" zoomScale="120" zoomScaleNormal="120" workbookViewId="0">
      <selection activeCell="I17" sqref="I17"/>
    </sheetView>
  </sheetViews>
  <sheetFormatPr baseColWidth="10" defaultColWidth="9.06640625" defaultRowHeight="14.25" x14ac:dyDescent="0.45"/>
  <cols>
    <col min="1" max="1" width="20.6640625" customWidth="1"/>
    <col min="2" max="2" width="12.6640625" customWidth="1"/>
    <col min="3" max="3" width="17.33203125" customWidth="1"/>
    <col min="4" max="4" width="11.73046875" bestFit="1" customWidth="1"/>
    <col min="5" max="5" width="12.3984375" customWidth="1"/>
    <col min="6" max="6" width="23.19921875" customWidth="1"/>
    <col min="7" max="7" width="12.46484375" bestFit="1" customWidth="1"/>
  </cols>
  <sheetData>
    <row r="1" spans="1:7" x14ac:dyDescent="0.45">
      <c r="A1" s="8" t="s">
        <v>7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88</v>
      </c>
    </row>
    <row r="2" spans="1:7" x14ac:dyDescent="0.45">
      <c r="A2" t="s">
        <v>8</v>
      </c>
      <c r="B2">
        <v>1343</v>
      </c>
      <c r="C2">
        <v>35213.998356101612</v>
      </c>
      <c r="D2">
        <v>0.1045136186770428</v>
      </c>
      <c r="E2" s="2">
        <v>0.11087968075143741</v>
      </c>
      <c r="F2" s="13">
        <v>3.8138242252950389</v>
      </c>
      <c r="G2" s="13">
        <f t="shared" ref="G2:G9" si="0">+$F$9</f>
        <v>4.046129278611418</v>
      </c>
    </row>
    <row r="3" spans="1:7" x14ac:dyDescent="0.45">
      <c r="A3" t="s">
        <v>9</v>
      </c>
      <c r="B3">
        <v>890</v>
      </c>
      <c r="C3">
        <v>25718.321401846169</v>
      </c>
      <c r="D3">
        <v>6.9260700389105062E-2</v>
      </c>
      <c r="E3" s="2">
        <v>8.0980274879959846E-2</v>
      </c>
      <c r="F3" s="13">
        <v>3.460567997785859</v>
      </c>
      <c r="G3" s="13">
        <f t="shared" si="0"/>
        <v>4.046129278611418</v>
      </c>
    </row>
    <row r="4" spans="1:7" x14ac:dyDescent="0.45">
      <c r="A4" t="s">
        <v>10</v>
      </c>
      <c r="B4">
        <v>1842</v>
      </c>
      <c r="C4">
        <v>46958.407406875929</v>
      </c>
      <c r="D4">
        <v>0.14334630350194549</v>
      </c>
      <c r="E4" s="2">
        <v>0.14785975648710031</v>
      </c>
      <c r="F4" s="13">
        <v>3.9226202542173172</v>
      </c>
      <c r="G4" s="13">
        <f t="shared" si="0"/>
        <v>4.046129278611418</v>
      </c>
    </row>
    <row r="5" spans="1:7" x14ac:dyDescent="0.45">
      <c r="A5" t="s">
        <v>11</v>
      </c>
      <c r="B5">
        <v>2116</v>
      </c>
      <c r="C5">
        <v>51956.766290736319</v>
      </c>
      <c r="D5">
        <v>0.16466926070038909</v>
      </c>
      <c r="E5" s="2">
        <v>0.16359828273223259</v>
      </c>
      <c r="F5" s="13">
        <v>4.0726168140631076</v>
      </c>
      <c r="G5" s="13">
        <f t="shared" si="0"/>
        <v>4.046129278611418</v>
      </c>
    </row>
    <row r="6" spans="1:7" x14ac:dyDescent="0.45">
      <c r="A6" t="s">
        <v>12</v>
      </c>
      <c r="B6">
        <v>4035</v>
      </c>
      <c r="C6">
        <v>115375.91461649119</v>
      </c>
      <c r="D6">
        <v>0.31400778210116731</v>
      </c>
      <c r="E6" s="2">
        <v>0.36328861181039379</v>
      </c>
      <c r="F6" s="13">
        <v>3.4972637169658101</v>
      </c>
      <c r="G6" s="13">
        <f t="shared" si="0"/>
        <v>4.046129278611418</v>
      </c>
    </row>
    <row r="7" spans="1:7" x14ac:dyDescent="0.45">
      <c r="A7" t="s">
        <v>13</v>
      </c>
      <c r="B7">
        <v>1029</v>
      </c>
      <c r="C7">
        <v>16002.429015857229</v>
      </c>
      <c r="D7">
        <v>8.0077821011673156E-2</v>
      </c>
      <c r="E7" s="2">
        <v>5.038746814782942E-2</v>
      </c>
      <c r="F7" s="13">
        <v>6.430273797686195</v>
      </c>
      <c r="G7" s="13">
        <f t="shared" si="0"/>
        <v>4.046129278611418</v>
      </c>
    </row>
    <row r="8" spans="1:7" x14ac:dyDescent="0.45">
      <c r="A8" t="s">
        <v>14</v>
      </c>
      <c r="B8">
        <v>1595</v>
      </c>
      <c r="C8">
        <v>26361.642578830331</v>
      </c>
      <c r="D8">
        <v>0.124124513618677</v>
      </c>
      <c r="E8" s="2">
        <v>8.3005925191046534E-2</v>
      </c>
      <c r="F8" s="13">
        <v>6.0504575738420092</v>
      </c>
      <c r="G8" s="13">
        <f t="shared" si="0"/>
        <v>4.046129278611418</v>
      </c>
    </row>
    <row r="9" spans="1:7" x14ac:dyDescent="0.45">
      <c r="A9" t="s">
        <v>87</v>
      </c>
      <c r="B9">
        <f>SUM(B2:B8)</f>
        <v>12850</v>
      </c>
      <c r="C9">
        <f t="shared" ref="C9:E9" si="1">SUM(C2:C8)</f>
        <v>317587.47966673877</v>
      </c>
      <c r="D9">
        <f t="shared" si="1"/>
        <v>1</v>
      </c>
      <c r="E9">
        <f t="shared" si="1"/>
        <v>1</v>
      </c>
      <c r="F9">
        <f>B9/C9*100</f>
        <v>4.046129278611418</v>
      </c>
      <c r="G9">
        <f t="shared" si="0"/>
        <v>4.046129278611418</v>
      </c>
    </row>
  </sheetData>
  <pageMargins left="0.75" right="0.75" top="1" bottom="1" header="0.5" footer="0.5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workbookViewId="0">
      <selection activeCell="K17" sqref="K17"/>
    </sheetView>
  </sheetViews>
  <sheetFormatPr baseColWidth="10" defaultColWidth="9.06640625" defaultRowHeight="14.25" x14ac:dyDescent="0.45"/>
  <cols>
    <col min="1" max="1" width="14.53125" customWidth="1"/>
    <col min="2" max="2" width="12.6640625" customWidth="1"/>
    <col min="3" max="3" width="17.33203125" customWidth="1"/>
    <col min="4" max="4" width="11.73046875" bestFit="1" customWidth="1"/>
    <col min="5" max="5" width="12.3984375" customWidth="1"/>
    <col min="6" max="6" width="23.19921875" customWidth="1"/>
  </cols>
  <sheetData>
    <row r="1" spans="1:7" x14ac:dyDescent="0.45">
      <c r="A1" s="8" t="s">
        <v>15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88</v>
      </c>
    </row>
    <row r="2" spans="1:7" x14ac:dyDescent="0.45">
      <c r="A2" t="s">
        <v>16</v>
      </c>
      <c r="B2">
        <v>2605</v>
      </c>
      <c r="C2">
        <v>69096.172597291632</v>
      </c>
      <c r="D2" s="2">
        <v>0.20272373540856031</v>
      </c>
      <c r="E2" s="2">
        <v>0.21756579531975839</v>
      </c>
      <c r="F2" s="13">
        <v>3.770107521269721</v>
      </c>
      <c r="G2" s="13">
        <f t="shared" ref="G2:G6" si="0">$F$6</f>
        <v>4.0461292786114171</v>
      </c>
    </row>
    <row r="3" spans="1:7" x14ac:dyDescent="0.45">
      <c r="A3" t="s">
        <v>17</v>
      </c>
      <c r="B3">
        <v>3559</v>
      </c>
      <c r="C3">
        <v>93419.218229817518</v>
      </c>
      <c r="D3" s="2">
        <v>0.27696498054474711</v>
      </c>
      <c r="E3" s="2">
        <v>0.29415271133436122</v>
      </c>
      <c r="F3" s="13">
        <v>3.809708609683097</v>
      </c>
      <c r="G3" s="13">
        <f t="shared" si="0"/>
        <v>4.0461292786114171</v>
      </c>
    </row>
    <row r="4" spans="1:7" x14ac:dyDescent="0.45">
      <c r="A4" t="s">
        <v>18</v>
      </c>
      <c r="B4">
        <v>4373</v>
      </c>
      <c r="C4">
        <v>92436.312336057934</v>
      </c>
      <c r="D4" s="2">
        <v>0.34031128404669259</v>
      </c>
      <c r="E4" s="2">
        <v>0.29105779747065658</v>
      </c>
      <c r="F4" s="13">
        <v>4.7308248127658832</v>
      </c>
      <c r="G4" s="13">
        <f t="shared" si="0"/>
        <v>4.0461292786114171</v>
      </c>
    </row>
    <row r="5" spans="1:7" x14ac:dyDescent="0.45">
      <c r="A5" t="s">
        <v>19</v>
      </c>
      <c r="B5">
        <v>2313</v>
      </c>
      <c r="C5">
        <v>62635.776503571738</v>
      </c>
      <c r="D5" s="2">
        <v>0.18</v>
      </c>
      <c r="E5" s="2">
        <v>0.19722369587522379</v>
      </c>
      <c r="F5" s="13">
        <v>3.6927777208415451</v>
      </c>
      <c r="G5" s="13">
        <f t="shared" si="0"/>
        <v>4.0461292786114171</v>
      </c>
    </row>
    <row r="6" spans="1:7" x14ac:dyDescent="0.45">
      <c r="A6" t="s">
        <v>87</v>
      </c>
      <c r="B6">
        <f>SUM(B2:B5)</f>
        <v>12850</v>
      </c>
      <c r="C6">
        <f t="shared" ref="C6:F6" si="1">SUM(C2:C5)</f>
        <v>317587.47966673883</v>
      </c>
      <c r="D6">
        <f t="shared" si="1"/>
        <v>1</v>
      </c>
      <c r="E6">
        <f t="shared" si="1"/>
        <v>1</v>
      </c>
      <c r="F6">
        <f>B6/C6*100</f>
        <v>4.0461292786114171</v>
      </c>
      <c r="G6" s="13">
        <f t="shared" si="0"/>
        <v>4.0461292786114171</v>
      </c>
    </row>
  </sheetData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20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>
        <v>0</v>
      </c>
      <c r="B2">
        <v>2229</v>
      </c>
      <c r="C2">
        <v>38751.041122893977</v>
      </c>
      <c r="D2">
        <v>0.17346303501945529</v>
      </c>
      <c r="E2">
        <v>0.12201690432997379</v>
      </c>
      <c r="F2">
        <v>5.7521035187958196</v>
      </c>
    </row>
    <row r="3" spans="1:6" x14ac:dyDescent="0.45">
      <c r="A3">
        <v>1</v>
      </c>
      <c r="B3">
        <v>2386</v>
      </c>
      <c r="C3">
        <v>61634.156571923413</v>
      </c>
      <c r="D3">
        <v>0.1856809338521401</v>
      </c>
      <c r="E3">
        <v>0.1940698563954705</v>
      </c>
      <c r="F3">
        <v>3.8712300657764001</v>
      </c>
    </row>
    <row r="4" spans="1:6" x14ac:dyDescent="0.45">
      <c r="A4">
        <v>2</v>
      </c>
      <c r="B4">
        <v>3382</v>
      </c>
      <c r="C4">
        <v>88698.85160449917</v>
      </c>
      <c r="D4">
        <v>0.26319066147859921</v>
      </c>
      <c r="E4">
        <v>0.27928951008262509</v>
      </c>
      <c r="F4">
        <v>3.812901676653107</v>
      </c>
    </row>
    <row r="5" spans="1:6" x14ac:dyDescent="0.45">
      <c r="A5">
        <v>3</v>
      </c>
      <c r="B5">
        <v>2487</v>
      </c>
      <c r="C5">
        <v>65241.654445005777</v>
      </c>
      <c r="D5">
        <v>0.19354085603112839</v>
      </c>
      <c r="E5">
        <v>0.2054289246964876</v>
      </c>
      <c r="F5">
        <v>3.8119818100204208</v>
      </c>
    </row>
    <row r="6" spans="1:6" x14ac:dyDescent="0.45">
      <c r="A6">
        <v>4</v>
      </c>
      <c r="B6">
        <v>1556</v>
      </c>
      <c r="C6">
        <v>42372.952548198853</v>
      </c>
      <c r="D6">
        <v>0.1210894941634241</v>
      </c>
      <c r="E6">
        <v>0.1334213571412293</v>
      </c>
      <c r="F6">
        <v>3.6721538302766712</v>
      </c>
    </row>
    <row r="7" spans="1:6" x14ac:dyDescent="0.45">
      <c r="A7">
        <v>5</v>
      </c>
      <c r="B7">
        <v>810</v>
      </c>
      <c r="C7">
        <v>20888.82337421762</v>
      </c>
      <c r="D7">
        <v>6.3035019455252916E-2</v>
      </c>
      <c r="E7">
        <v>6.5773447354213574E-2</v>
      </c>
      <c r="F7">
        <v>3.8776717361675619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"/>
  <sheetViews>
    <sheetView tabSelected="1" workbookViewId="0">
      <selection activeCell="F8" sqref="F8"/>
    </sheetView>
  </sheetViews>
  <sheetFormatPr baseColWidth="10" defaultColWidth="9.06640625" defaultRowHeight="14.25" x14ac:dyDescent="0.45"/>
  <cols>
    <col min="5" max="5" width="11.73046875" bestFit="1" customWidth="1"/>
    <col min="6" max="6" width="21.53125" bestFit="1" customWidth="1"/>
  </cols>
  <sheetData>
    <row r="1" spans="1:6" x14ac:dyDescent="0.45">
      <c r="A1" s="1" t="s">
        <v>21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6392</v>
      </c>
      <c r="C2">
        <v>161810.96896708521</v>
      </c>
      <c r="D2">
        <v>0.49743190661478598</v>
      </c>
      <c r="E2">
        <v>0.50950046625541401</v>
      </c>
      <c r="F2">
        <v>3.950288438913081</v>
      </c>
    </row>
    <row r="3" spans="1:6" x14ac:dyDescent="0.45">
      <c r="A3" t="s">
        <v>23</v>
      </c>
      <c r="B3">
        <v>6458</v>
      </c>
      <c r="C3">
        <v>155776.51069965359</v>
      </c>
      <c r="D3">
        <v>0.50256809338521402</v>
      </c>
      <c r="E3">
        <v>0.4904995337445861</v>
      </c>
      <c r="F3">
        <v>4.1456827932494962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24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>
        <v>2019</v>
      </c>
      <c r="B2">
        <v>2872</v>
      </c>
      <c r="C2">
        <v>63554.261496567116</v>
      </c>
      <c r="D2">
        <v>0.22350194552529179</v>
      </c>
      <c r="E2">
        <v>0.2001157651531412</v>
      </c>
      <c r="F2">
        <v>4.5189731300003091</v>
      </c>
    </row>
    <row r="3" spans="1:6" x14ac:dyDescent="0.45">
      <c r="A3">
        <v>2020</v>
      </c>
      <c r="B3">
        <v>2093</v>
      </c>
      <c r="C3">
        <v>63392.706811894037</v>
      </c>
      <c r="D3">
        <v>0.16287937743190661</v>
      </c>
      <c r="E3">
        <v>0.1996070716591703</v>
      </c>
      <c r="F3">
        <v>3.301641632389329</v>
      </c>
    </row>
    <row r="4" spans="1:6" x14ac:dyDescent="0.45">
      <c r="A4">
        <v>2021</v>
      </c>
      <c r="B4">
        <v>2392</v>
      </c>
      <c r="C4">
        <v>63544.933024169943</v>
      </c>
      <c r="D4">
        <v>0.186147859922179</v>
      </c>
      <c r="E4">
        <v>0.20008639223073579</v>
      </c>
      <c r="F4">
        <v>3.7642655144355559</v>
      </c>
    </row>
    <row r="5" spans="1:6" x14ac:dyDescent="0.45">
      <c r="A5">
        <v>2022</v>
      </c>
      <c r="B5">
        <v>2639</v>
      </c>
      <c r="C5">
        <v>63807.494391160813</v>
      </c>
      <c r="D5">
        <v>0.2053696498054475</v>
      </c>
      <c r="E5">
        <v>0.20091312937813971</v>
      </c>
      <c r="F5">
        <v>4.1358778074281783</v>
      </c>
    </row>
    <row r="6" spans="1:6" x14ac:dyDescent="0.45">
      <c r="A6">
        <v>2023</v>
      </c>
      <c r="B6">
        <v>2854</v>
      </c>
      <c r="C6">
        <v>63288.083942946927</v>
      </c>
      <c r="D6">
        <v>0.2221011673151751</v>
      </c>
      <c r="E6">
        <v>0.19927764157881289</v>
      </c>
      <c r="F6">
        <v>4.5095376920761732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25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26</v>
      </c>
      <c r="B2">
        <v>9032</v>
      </c>
      <c r="C2">
        <v>222049.5281478687</v>
      </c>
      <c r="D2">
        <v>0.70287937743190665</v>
      </c>
      <c r="E2">
        <v>0.69917595108244479</v>
      </c>
      <c r="F2">
        <v>4.0675609965653017</v>
      </c>
    </row>
    <row r="3" spans="1:6" x14ac:dyDescent="0.45">
      <c r="A3" t="s">
        <v>27</v>
      </c>
      <c r="B3">
        <v>3818</v>
      </c>
      <c r="C3">
        <v>95537.951518870104</v>
      </c>
      <c r="D3">
        <v>0.29712062256809341</v>
      </c>
      <c r="E3">
        <v>0.30082404891755521</v>
      </c>
      <c r="F3">
        <v>3.996317630115704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28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29</v>
      </c>
      <c r="B2">
        <v>1657</v>
      </c>
      <c r="C2">
        <v>52154.416540025537</v>
      </c>
      <c r="D2">
        <v>0.12894941634241239</v>
      </c>
      <c r="E2">
        <v>0.1642206317287882</v>
      </c>
      <c r="F2">
        <v>3.1771038963274512</v>
      </c>
    </row>
    <row r="3" spans="1:6" x14ac:dyDescent="0.45">
      <c r="A3" t="s">
        <v>30</v>
      </c>
      <c r="B3">
        <v>30</v>
      </c>
      <c r="C3">
        <v>549.79320137177831</v>
      </c>
      <c r="D3">
        <v>2.334630350194552E-3</v>
      </c>
      <c r="E3">
        <v>1.7311551511687579E-3</v>
      </c>
      <c r="F3">
        <v>5.4565971214535907</v>
      </c>
    </row>
    <row r="4" spans="1:6" x14ac:dyDescent="0.45">
      <c r="A4" t="s">
        <v>31</v>
      </c>
      <c r="B4">
        <v>10</v>
      </c>
      <c r="C4">
        <v>513.5285288739484</v>
      </c>
      <c r="D4">
        <v>7.7821011673151756E-4</v>
      </c>
      <c r="E4">
        <v>1.6169671720460161E-3</v>
      </c>
      <c r="F4">
        <v>1.947311480810566</v>
      </c>
    </row>
    <row r="5" spans="1:6" x14ac:dyDescent="0.45">
      <c r="A5" t="s">
        <v>32</v>
      </c>
      <c r="B5">
        <v>1930</v>
      </c>
      <c r="C5">
        <v>52504.775759853808</v>
      </c>
      <c r="D5">
        <v>0.1501945525291829</v>
      </c>
      <c r="E5">
        <v>0.16532382137655369</v>
      </c>
      <c r="F5">
        <v>3.6758560951244288</v>
      </c>
    </row>
    <row r="6" spans="1:6" x14ac:dyDescent="0.45">
      <c r="A6" t="s">
        <v>33</v>
      </c>
      <c r="B6">
        <v>2374</v>
      </c>
      <c r="C6">
        <v>52682.703239488917</v>
      </c>
      <c r="D6">
        <v>0.18474708171206219</v>
      </c>
      <c r="E6">
        <v>0.1658840685242744</v>
      </c>
      <c r="F6">
        <v>4.5062228284074486</v>
      </c>
    </row>
    <row r="7" spans="1:6" x14ac:dyDescent="0.45">
      <c r="A7" t="s">
        <v>34</v>
      </c>
      <c r="B7">
        <v>2454</v>
      </c>
      <c r="C7">
        <v>52670.082039256587</v>
      </c>
      <c r="D7">
        <v>0.1909727626459144</v>
      </c>
      <c r="E7">
        <v>0.16584432766217999</v>
      </c>
      <c r="F7">
        <v>4.6591915276892122</v>
      </c>
    </row>
    <row r="8" spans="1:6" x14ac:dyDescent="0.45">
      <c r="A8" t="s">
        <v>35</v>
      </c>
      <c r="B8">
        <v>22</v>
      </c>
      <c r="C8">
        <v>554.42173607871405</v>
      </c>
      <c r="D8">
        <v>1.712062256809338E-3</v>
      </c>
      <c r="E8">
        <v>1.7457291977016781E-3</v>
      </c>
      <c r="F8">
        <v>3.968098393039293</v>
      </c>
    </row>
    <row r="9" spans="1:6" x14ac:dyDescent="0.45">
      <c r="A9" t="s">
        <v>36</v>
      </c>
      <c r="B9">
        <v>22</v>
      </c>
      <c r="C9">
        <v>514.56143284681025</v>
      </c>
      <c r="D9">
        <v>1.712062256809338E-3</v>
      </c>
      <c r="E9">
        <v>1.620219516798226E-3</v>
      </c>
      <c r="F9">
        <v>4.2754856068953782</v>
      </c>
    </row>
    <row r="10" spans="1:6" x14ac:dyDescent="0.45">
      <c r="A10" t="s">
        <v>37</v>
      </c>
      <c r="B10">
        <v>2594</v>
      </c>
      <c r="C10">
        <v>52234.345152820802</v>
      </c>
      <c r="D10">
        <v>0.2018677042801556</v>
      </c>
      <c r="E10">
        <v>0.16447230604818869</v>
      </c>
      <c r="F10">
        <v>4.9660812103813976</v>
      </c>
    </row>
    <row r="11" spans="1:6" x14ac:dyDescent="0.45">
      <c r="A11" t="s">
        <v>38</v>
      </c>
      <c r="B11">
        <v>1714</v>
      </c>
      <c r="C11">
        <v>52176.858243644951</v>
      </c>
      <c r="D11">
        <v>0.13338521400778211</v>
      </c>
      <c r="E11">
        <v>0.16429129479032631</v>
      </c>
      <c r="F11">
        <v>3.2849812305607</v>
      </c>
    </row>
    <row r="12" spans="1:6" x14ac:dyDescent="0.45">
      <c r="A12" t="s">
        <v>39</v>
      </c>
      <c r="B12">
        <v>17</v>
      </c>
      <c r="C12">
        <v>524.82580552718832</v>
      </c>
      <c r="D12">
        <v>1.32295719844358E-3</v>
      </c>
      <c r="E12">
        <v>1.6525393446804499E-3</v>
      </c>
      <c r="F12">
        <v>3.239169991445729</v>
      </c>
    </row>
    <row r="13" spans="1:6" x14ac:dyDescent="0.45">
      <c r="A13" t="s">
        <v>40</v>
      </c>
      <c r="B13">
        <v>26</v>
      </c>
      <c r="C13">
        <v>507.16798694977541</v>
      </c>
      <c r="D13">
        <v>2.023346303501945E-3</v>
      </c>
      <c r="E13">
        <v>1.5969394872933061E-3</v>
      </c>
      <c r="F13">
        <v>5.1265065361025579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20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41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>
        <v>1900</v>
      </c>
      <c r="B2">
        <v>106</v>
      </c>
      <c r="C2">
        <v>2681.9451337740779</v>
      </c>
      <c r="D2">
        <v>8.2490272373540851E-3</v>
      </c>
      <c r="E2">
        <v>8.4447445364923823E-3</v>
      </c>
      <c r="F2">
        <v>3.9523552762183098</v>
      </c>
    </row>
    <row r="3" spans="1:6" x14ac:dyDescent="0.45">
      <c r="A3">
        <v>1901</v>
      </c>
      <c r="B3">
        <v>97</v>
      </c>
      <c r="C3">
        <v>2570.6903914072359</v>
      </c>
      <c r="D3">
        <v>7.5486381322957203E-3</v>
      </c>
      <c r="E3">
        <v>8.0944324193913345E-3</v>
      </c>
      <c r="F3">
        <v>3.773305425041896</v>
      </c>
    </row>
    <row r="4" spans="1:6" x14ac:dyDescent="0.45">
      <c r="A4">
        <v>1902</v>
      </c>
      <c r="B4">
        <v>101</v>
      </c>
      <c r="C4">
        <v>2686.565676770625</v>
      </c>
      <c r="D4">
        <v>7.859922178988326E-3</v>
      </c>
      <c r="E4">
        <v>8.4592934192172162E-3</v>
      </c>
      <c r="F4">
        <v>3.759446525848817</v>
      </c>
    </row>
    <row r="5" spans="1:6" x14ac:dyDescent="0.45">
      <c r="A5">
        <v>1903</v>
      </c>
      <c r="B5">
        <v>107</v>
      </c>
      <c r="C5">
        <v>2668.3992240395792</v>
      </c>
      <c r="D5">
        <v>8.3268482490272376E-3</v>
      </c>
      <c r="E5">
        <v>8.4020920057669493E-3</v>
      </c>
      <c r="F5">
        <v>4.0098947352419447</v>
      </c>
    </row>
    <row r="6" spans="1:6" x14ac:dyDescent="0.45">
      <c r="A6">
        <v>1904</v>
      </c>
      <c r="B6">
        <v>104</v>
      </c>
      <c r="C6">
        <v>2610.248314802905</v>
      </c>
      <c r="D6">
        <v>8.0933852140077818E-3</v>
      </c>
      <c r="E6">
        <v>8.2189899851907756E-3</v>
      </c>
      <c r="F6">
        <v>3.9842952645619412</v>
      </c>
    </row>
    <row r="7" spans="1:6" x14ac:dyDescent="0.45">
      <c r="A7">
        <v>1905</v>
      </c>
      <c r="B7">
        <v>103</v>
      </c>
      <c r="C7">
        <v>2723.7362277049151</v>
      </c>
      <c r="D7">
        <v>8.015564202334631E-3</v>
      </c>
      <c r="E7">
        <v>8.576333772864958E-3</v>
      </c>
      <c r="F7">
        <v>3.781570291290294</v>
      </c>
    </row>
    <row r="8" spans="1:6" x14ac:dyDescent="0.45">
      <c r="A8">
        <v>1906</v>
      </c>
      <c r="B8">
        <v>100</v>
      </c>
      <c r="C8">
        <v>2732.6831888595461</v>
      </c>
      <c r="D8">
        <v>7.7821011673151752E-3</v>
      </c>
      <c r="E8">
        <v>8.6045054160418851E-3</v>
      </c>
      <c r="F8">
        <v>3.6594070036246631</v>
      </c>
    </row>
    <row r="9" spans="1:6" x14ac:dyDescent="0.45">
      <c r="A9">
        <v>1907</v>
      </c>
      <c r="B9">
        <v>128</v>
      </c>
      <c r="C9">
        <v>2658.8632619452778</v>
      </c>
      <c r="D9">
        <v>9.9610894941634248E-3</v>
      </c>
      <c r="E9">
        <v>8.3720657525144342E-3</v>
      </c>
      <c r="F9">
        <v>4.8140873519893841</v>
      </c>
    </row>
    <row r="10" spans="1:6" x14ac:dyDescent="0.45">
      <c r="A10">
        <v>1908</v>
      </c>
      <c r="B10">
        <v>118</v>
      </c>
      <c r="C10">
        <v>2690.5023775599761</v>
      </c>
      <c r="D10">
        <v>9.1828793774319066E-3</v>
      </c>
      <c r="E10">
        <v>8.4716890614934225E-3</v>
      </c>
      <c r="F10">
        <v>4.385798019885585</v>
      </c>
    </row>
    <row r="11" spans="1:6" x14ac:dyDescent="0.45">
      <c r="A11">
        <v>1909</v>
      </c>
      <c r="B11">
        <v>116</v>
      </c>
      <c r="C11">
        <v>2743.1603459448211</v>
      </c>
      <c r="D11">
        <v>9.0272373540856033E-3</v>
      </c>
      <c r="E11">
        <v>8.637495246422695E-3</v>
      </c>
      <c r="F11">
        <v>4.2286992144473556</v>
      </c>
    </row>
    <row r="12" spans="1:6" x14ac:dyDescent="0.45">
      <c r="A12">
        <v>1910</v>
      </c>
      <c r="B12">
        <v>117</v>
      </c>
      <c r="C12">
        <v>2617.8477279701292</v>
      </c>
      <c r="D12">
        <v>9.1050583657587541E-3</v>
      </c>
      <c r="E12">
        <v>8.2429185518181451E-3</v>
      </c>
      <c r="F12">
        <v>4.4693203027023047</v>
      </c>
    </row>
    <row r="13" spans="1:6" x14ac:dyDescent="0.45">
      <c r="A13">
        <v>1911</v>
      </c>
      <c r="B13">
        <v>106</v>
      </c>
      <c r="C13">
        <v>2702.8796704557381</v>
      </c>
      <c r="D13">
        <v>8.2490272373540851E-3</v>
      </c>
      <c r="E13">
        <v>8.5106619231085905E-3</v>
      </c>
      <c r="F13">
        <v>3.9217432118288542</v>
      </c>
    </row>
    <row r="14" spans="1:6" x14ac:dyDescent="0.45">
      <c r="A14">
        <v>1912</v>
      </c>
      <c r="B14">
        <v>111</v>
      </c>
      <c r="C14">
        <v>2740.7319216363112</v>
      </c>
      <c r="D14">
        <v>8.6381322957198442E-3</v>
      </c>
      <c r="E14">
        <v>8.629848772729657E-3</v>
      </c>
      <c r="F14">
        <v>4.0500130320563859</v>
      </c>
    </row>
    <row r="15" spans="1:6" x14ac:dyDescent="0.45">
      <c r="A15">
        <v>1913</v>
      </c>
      <c r="B15">
        <v>105</v>
      </c>
      <c r="C15">
        <v>2693.2736707273521</v>
      </c>
      <c r="D15">
        <v>8.1712062256809343E-3</v>
      </c>
      <c r="E15">
        <v>8.4804151396445024E-3</v>
      </c>
      <c r="F15">
        <v>3.8986012131341798</v>
      </c>
    </row>
    <row r="16" spans="1:6" x14ac:dyDescent="0.45">
      <c r="A16">
        <v>1914</v>
      </c>
      <c r="B16">
        <v>106</v>
      </c>
      <c r="C16">
        <v>2660.8845954195972</v>
      </c>
      <c r="D16">
        <v>8.2490272373540851E-3</v>
      </c>
      <c r="E16">
        <v>8.3784304035278805E-3</v>
      </c>
      <c r="F16">
        <v>3.9836376287219171</v>
      </c>
    </row>
    <row r="17" spans="1:6" x14ac:dyDescent="0.45">
      <c r="A17">
        <v>1915</v>
      </c>
      <c r="B17">
        <v>113</v>
      </c>
      <c r="C17">
        <v>2686.7935777804282</v>
      </c>
      <c r="D17">
        <v>8.7937743190661475E-3</v>
      </c>
      <c r="E17">
        <v>8.4600110199552631E-3</v>
      </c>
      <c r="F17">
        <v>4.2057566660312551</v>
      </c>
    </row>
    <row r="18" spans="1:6" x14ac:dyDescent="0.45">
      <c r="A18">
        <v>1916</v>
      </c>
      <c r="B18">
        <v>104</v>
      </c>
      <c r="C18">
        <v>2707.7154619675061</v>
      </c>
      <c r="D18">
        <v>8.0933852140077818E-3</v>
      </c>
      <c r="E18">
        <v>8.525888567171647E-3</v>
      </c>
      <c r="F18">
        <v>3.840876246443949</v>
      </c>
    </row>
    <row r="19" spans="1:6" x14ac:dyDescent="0.45">
      <c r="A19">
        <v>1917</v>
      </c>
      <c r="B19">
        <v>92</v>
      </c>
      <c r="C19">
        <v>2685.4767589139642</v>
      </c>
      <c r="D19">
        <v>7.1595330739299612E-3</v>
      </c>
      <c r="E19">
        <v>8.4558647013792086E-3</v>
      </c>
      <c r="F19">
        <v>3.4258348985751721</v>
      </c>
    </row>
    <row r="20" spans="1:6" x14ac:dyDescent="0.45">
      <c r="A20">
        <v>1918</v>
      </c>
      <c r="B20">
        <v>96</v>
      </c>
      <c r="C20">
        <v>2601.1303041794449</v>
      </c>
      <c r="D20">
        <v>7.4708171206225677E-3</v>
      </c>
      <c r="E20">
        <v>8.1902797519251957E-3</v>
      </c>
      <c r="F20">
        <v>3.6907032241233391</v>
      </c>
    </row>
    <row r="21" spans="1:6" x14ac:dyDescent="0.45">
      <c r="A21">
        <v>1919</v>
      </c>
      <c r="B21">
        <v>90</v>
      </c>
      <c r="C21">
        <v>2639.5111604165381</v>
      </c>
      <c r="D21">
        <v>7.0038910505836579E-3</v>
      </c>
      <c r="E21">
        <v>8.3111310407649429E-3</v>
      </c>
      <c r="F21">
        <v>3.4097222754609322</v>
      </c>
    </row>
    <row r="22" spans="1:6" x14ac:dyDescent="0.45">
      <c r="A22">
        <v>1920</v>
      </c>
      <c r="B22">
        <v>95</v>
      </c>
      <c r="C22">
        <v>2664.3732063091061</v>
      </c>
      <c r="D22">
        <v>7.3929961089494161E-3</v>
      </c>
      <c r="E22">
        <v>8.3894151277782505E-3</v>
      </c>
      <c r="F22">
        <v>3.565566557081592</v>
      </c>
    </row>
    <row r="23" spans="1:6" x14ac:dyDescent="0.45">
      <c r="A23">
        <v>1921</v>
      </c>
      <c r="B23">
        <v>102</v>
      </c>
      <c r="C23">
        <v>2769.8887604473111</v>
      </c>
      <c r="D23">
        <v>7.9377431906614785E-3</v>
      </c>
      <c r="E23">
        <v>8.7216560405778618E-3</v>
      </c>
      <c r="F23">
        <v>3.6824583519927332</v>
      </c>
    </row>
    <row r="24" spans="1:6" x14ac:dyDescent="0.45">
      <c r="A24">
        <v>1922</v>
      </c>
      <c r="B24">
        <v>93</v>
      </c>
      <c r="C24">
        <v>2654.3410622650322</v>
      </c>
      <c r="D24">
        <v>7.2373540856031128E-3</v>
      </c>
      <c r="E24">
        <v>8.3578265271992812E-3</v>
      </c>
      <c r="F24">
        <v>3.5036944318165428</v>
      </c>
    </row>
    <row r="25" spans="1:6" x14ac:dyDescent="0.45">
      <c r="A25">
        <v>1923</v>
      </c>
      <c r="B25">
        <v>135</v>
      </c>
      <c r="C25">
        <v>2769.930173561319</v>
      </c>
      <c r="D25">
        <v>1.0505836575875491E-2</v>
      </c>
      <c r="E25">
        <v>8.7217864396542093E-3</v>
      </c>
      <c r="F25">
        <v>4.8737690678472774</v>
      </c>
    </row>
    <row r="26" spans="1:6" x14ac:dyDescent="0.45">
      <c r="A26">
        <v>1924</v>
      </c>
      <c r="B26">
        <v>107</v>
      </c>
      <c r="C26">
        <v>2591.4289337922378</v>
      </c>
      <c r="D26">
        <v>8.3268482490272376E-3</v>
      </c>
      <c r="E26">
        <v>8.1597326711731841E-3</v>
      </c>
      <c r="F26">
        <v>4.1289961150282686</v>
      </c>
    </row>
    <row r="27" spans="1:6" x14ac:dyDescent="0.45">
      <c r="A27">
        <v>1925</v>
      </c>
      <c r="B27">
        <v>115</v>
      </c>
      <c r="C27">
        <v>2674.7770642320602</v>
      </c>
      <c r="D27">
        <v>8.9494163424124508E-3</v>
      </c>
      <c r="E27">
        <v>8.4221741582471837E-3</v>
      </c>
      <c r="F27">
        <v>4.299423736572864</v>
      </c>
    </row>
    <row r="28" spans="1:6" x14ac:dyDescent="0.45">
      <c r="A28">
        <v>1926</v>
      </c>
      <c r="B28">
        <v>98</v>
      </c>
      <c r="C28">
        <v>2649.6963180711982</v>
      </c>
      <c r="D28">
        <v>7.6264591439688719E-3</v>
      </c>
      <c r="E28">
        <v>8.3432014412270408E-3</v>
      </c>
      <c r="F28">
        <v>3.6985370486281779</v>
      </c>
    </row>
    <row r="29" spans="1:6" x14ac:dyDescent="0.45">
      <c r="A29">
        <v>1927</v>
      </c>
      <c r="B29">
        <v>101</v>
      </c>
      <c r="C29">
        <v>2647.8434192129671</v>
      </c>
      <c r="D29">
        <v>7.859922178988326E-3</v>
      </c>
      <c r="E29">
        <v>8.3373671468141251E-3</v>
      </c>
      <c r="F29">
        <v>3.8144249492676119</v>
      </c>
    </row>
    <row r="30" spans="1:6" x14ac:dyDescent="0.45">
      <c r="A30">
        <v>1928</v>
      </c>
      <c r="B30">
        <v>92</v>
      </c>
      <c r="C30">
        <v>2707.0184875360551</v>
      </c>
      <c r="D30">
        <v>7.1595330739299612E-3</v>
      </c>
      <c r="E30">
        <v>8.5236939767797896E-3</v>
      </c>
      <c r="F30">
        <v>3.3985730213368051</v>
      </c>
    </row>
    <row r="31" spans="1:6" x14ac:dyDescent="0.45">
      <c r="A31">
        <v>1929</v>
      </c>
      <c r="B31">
        <v>116</v>
      </c>
      <c r="C31">
        <v>2653.01405317133</v>
      </c>
      <c r="D31">
        <v>9.0272373540856033E-3</v>
      </c>
      <c r="E31">
        <v>8.3536481222599747E-3</v>
      </c>
      <c r="F31">
        <v>4.3723854331392333</v>
      </c>
    </row>
    <row r="32" spans="1:6" x14ac:dyDescent="0.45">
      <c r="A32">
        <v>1930</v>
      </c>
      <c r="B32">
        <v>104</v>
      </c>
      <c r="C32">
        <v>2661.168421684054</v>
      </c>
      <c r="D32">
        <v>8.0933852140077818E-3</v>
      </c>
      <c r="E32">
        <v>8.379324098281701E-3</v>
      </c>
      <c r="F32">
        <v>3.9080577971906871</v>
      </c>
    </row>
    <row r="33" spans="1:6" x14ac:dyDescent="0.45">
      <c r="A33">
        <v>1931</v>
      </c>
      <c r="B33">
        <v>119</v>
      </c>
      <c r="C33">
        <v>2667.4984804323271</v>
      </c>
      <c r="D33">
        <v>9.2607003891050591E-3</v>
      </c>
      <c r="E33">
        <v>8.3992557994775896E-3</v>
      </c>
      <c r="F33">
        <v>4.4611084457192796</v>
      </c>
    </row>
    <row r="34" spans="1:6" x14ac:dyDescent="0.45">
      <c r="A34">
        <v>1932</v>
      </c>
      <c r="B34">
        <v>109</v>
      </c>
      <c r="C34">
        <v>2555.2006637828431</v>
      </c>
      <c r="D34">
        <v>8.4824902723735409E-3</v>
      </c>
      <c r="E34">
        <v>8.0456593139759443E-3</v>
      </c>
      <c r="F34">
        <v>4.2658097872685712</v>
      </c>
    </row>
    <row r="35" spans="1:6" x14ac:dyDescent="0.45">
      <c r="A35">
        <v>1933</v>
      </c>
      <c r="B35">
        <v>115</v>
      </c>
      <c r="C35">
        <v>2671.0442430550488</v>
      </c>
      <c r="D35">
        <v>8.9494163424124508E-3</v>
      </c>
      <c r="E35">
        <v>8.4104204796042834E-3</v>
      </c>
      <c r="F35">
        <v>4.3054322405557368</v>
      </c>
    </row>
    <row r="36" spans="1:6" x14ac:dyDescent="0.45">
      <c r="A36">
        <v>1934</v>
      </c>
      <c r="B36">
        <v>116</v>
      </c>
      <c r="C36">
        <v>2629.7173024595372</v>
      </c>
      <c r="D36">
        <v>9.0272373540856033E-3</v>
      </c>
      <c r="E36">
        <v>8.2802927408191195E-3</v>
      </c>
      <c r="F36">
        <v>4.4111205372344342</v>
      </c>
    </row>
    <row r="37" spans="1:6" x14ac:dyDescent="0.45">
      <c r="A37">
        <v>1935</v>
      </c>
      <c r="B37">
        <v>103</v>
      </c>
      <c r="C37">
        <v>2666.9496939154828</v>
      </c>
      <c r="D37">
        <v>8.015564202334631E-3</v>
      </c>
      <c r="E37">
        <v>8.3975278141129924E-3</v>
      </c>
      <c r="F37">
        <v>3.8620900962245179</v>
      </c>
    </row>
    <row r="38" spans="1:6" x14ac:dyDescent="0.45">
      <c r="A38">
        <v>1936</v>
      </c>
      <c r="B38">
        <v>111</v>
      </c>
      <c r="C38">
        <v>2701.7720368556702</v>
      </c>
      <c r="D38">
        <v>8.6381322957198442E-3</v>
      </c>
      <c r="E38">
        <v>8.5071742742843064E-3</v>
      </c>
      <c r="F38">
        <v>4.108414717667376</v>
      </c>
    </row>
    <row r="39" spans="1:6" x14ac:dyDescent="0.45">
      <c r="A39">
        <v>1937</v>
      </c>
      <c r="B39">
        <v>98</v>
      </c>
      <c r="C39">
        <v>2575.6330711863679</v>
      </c>
      <c r="D39">
        <v>7.6264591439688719E-3</v>
      </c>
      <c r="E39">
        <v>8.1099956266824976E-3</v>
      </c>
      <c r="F39">
        <v>3.8048897995730431</v>
      </c>
    </row>
    <row r="40" spans="1:6" x14ac:dyDescent="0.45">
      <c r="A40">
        <v>1938</v>
      </c>
      <c r="B40">
        <v>90</v>
      </c>
      <c r="C40">
        <v>2591.4485796524718</v>
      </c>
      <c r="D40">
        <v>7.0038910505836579E-3</v>
      </c>
      <c r="E40">
        <v>8.1597945308543498E-3</v>
      </c>
      <c r="F40">
        <v>3.4729610576363239</v>
      </c>
    </row>
    <row r="41" spans="1:6" x14ac:dyDescent="0.45">
      <c r="A41">
        <v>1939</v>
      </c>
      <c r="B41">
        <v>109</v>
      </c>
      <c r="C41">
        <v>2626.7848419400611</v>
      </c>
      <c r="D41">
        <v>8.4824902723735409E-3</v>
      </c>
      <c r="E41">
        <v>8.2710591887831478E-3</v>
      </c>
      <c r="F41">
        <v>4.149559501778457</v>
      </c>
    </row>
    <row r="42" spans="1:6" x14ac:dyDescent="0.45">
      <c r="A42">
        <v>1940</v>
      </c>
      <c r="B42">
        <v>109</v>
      </c>
      <c r="C42">
        <v>2622.7312644191338</v>
      </c>
      <c r="D42">
        <v>8.4824902723735409E-3</v>
      </c>
      <c r="E42">
        <v>8.2582955322146323E-3</v>
      </c>
      <c r="F42">
        <v>4.1559728775391953</v>
      </c>
    </row>
    <row r="43" spans="1:6" x14ac:dyDescent="0.45">
      <c r="A43">
        <v>1941</v>
      </c>
      <c r="B43">
        <v>106</v>
      </c>
      <c r="C43">
        <v>2655.6320769396352</v>
      </c>
      <c r="D43">
        <v>8.2490272373540851E-3</v>
      </c>
      <c r="E43">
        <v>8.361891595116815E-3</v>
      </c>
      <c r="F43">
        <v>3.9915167812762289</v>
      </c>
    </row>
    <row r="44" spans="1:6" x14ac:dyDescent="0.45">
      <c r="A44">
        <v>1942</v>
      </c>
      <c r="B44">
        <v>97</v>
      </c>
      <c r="C44">
        <v>2630.487951336203</v>
      </c>
      <c r="D44">
        <v>7.5486381322957203E-3</v>
      </c>
      <c r="E44">
        <v>8.2827193127906415E-3</v>
      </c>
      <c r="F44">
        <v>3.687528770117618</v>
      </c>
    </row>
    <row r="45" spans="1:6" x14ac:dyDescent="0.45">
      <c r="A45">
        <v>1943</v>
      </c>
      <c r="B45">
        <v>89</v>
      </c>
      <c r="C45">
        <v>2642.5166081732</v>
      </c>
      <c r="D45">
        <v>6.9260700389105062E-3</v>
      </c>
      <c r="E45">
        <v>8.3205944105420385E-3</v>
      </c>
      <c r="F45">
        <v>3.36800153780402</v>
      </c>
    </row>
    <row r="46" spans="1:6" x14ac:dyDescent="0.45">
      <c r="A46">
        <v>1944</v>
      </c>
      <c r="B46">
        <v>106</v>
      </c>
      <c r="C46">
        <v>2682.5380695695549</v>
      </c>
      <c r="D46">
        <v>8.2490272373540851E-3</v>
      </c>
      <c r="E46">
        <v>8.4466115364008783E-3</v>
      </c>
      <c r="F46">
        <v>3.9514816659063841</v>
      </c>
    </row>
    <row r="47" spans="1:6" x14ac:dyDescent="0.45">
      <c r="A47">
        <v>1945</v>
      </c>
      <c r="B47">
        <v>133</v>
      </c>
      <c r="C47">
        <v>2752.5695168535599</v>
      </c>
      <c r="D47">
        <v>1.035019455252918E-2</v>
      </c>
      <c r="E47">
        <v>8.667122267357566E-3</v>
      </c>
      <c r="F47">
        <v>4.8318489028401066</v>
      </c>
    </row>
    <row r="48" spans="1:6" x14ac:dyDescent="0.45">
      <c r="A48">
        <v>1946</v>
      </c>
      <c r="B48">
        <v>97</v>
      </c>
      <c r="C48">
        <v>2656.965386828489</v>
      </c>
      <c r="D48">
        <v>7.5486381322957203E-3</v>
      </c>
      <c r="E48">
        <v>8.3660898396138994E-3</v>
      </c>
      <c r="F48">
        <v>3.6507814697497789</v>
      </c>
    </row>
    <row r="49" spans="1:6" x14ac:dyDescent="0.45">
      <c r="A49">
        <v>1947</v>
      </c>
      <c r="B49">
        <v>113</v>
      </c>
      <c r="C49">
        <v>2650.5611189871788</v>
      </c>
      <c r="D49">
        <v>8.7937743190661475E-3</v>
      </c>
      <c r="E49">
        <v>8.3459244733720371E-3</v>
      </c>
      <c r="F49">
        <v>4.2632482303663712</v>
      </c>
    </row>
    <row r="50" spans="1:6" x14ac:dyDescent="0.45">
      <c r="A50">
        <v>1948</v>
      </c>
      <c r="B50">
        <v>102</v>
      </c>
      <c r="C50">
        <v>2732.780588277466</v>
      </c>
      <c r="D50">
        <v>7.9377431906614785E-3</v>
      </c>
      <c r="E50">
        <v>8.604812101362172E-3</v>
      </c>
      <c r="F50">
        <v>3.7324621097478201</v>
      </c>
    </row>
    <row r="51" spans="1:6" x14ac:dyDescent="0.45">
      <c r="A51">
        <v>1949</v>
      </c>
      <c r="B51">
        <v>104</v>
      </c>
      <c r="C51">
        <v>2647.107098985266</v>
      </c>
      <c r="D51">
        <v>8.0933852140077818E-3</v>
      </c>
      <c r="E51">
        <v>8.3350486667894286E-3</v>
      </c>
      <c r="F51">
        <v>3.92881723749927</v>
      </c>
    </row>
    <row r="52" spans="1:6" x14ac:dyDescent="0.45">
      <c r="A52">
        <v>1950</v>
      </c>
      <c r="B52">
        <v>110</v>
      </c>
      <c r="C52">
        <v>2691.23801187458</v>
      </c>
      <c r="D52">
        <v>8.5603112840466934E-3</v>
      </c>
      <c r="E52">
        <v>8.4740053817569799E-3</v>
      </c>
      <c r="F52">
        <v>4.0873382255544009</v>
      </c>
    </row>
    <row r="53" spans="1:6" x14ac:dyDescent="0.45">
      <c r="A53">
        <v>1951</v>
      </c>
      <c r="B53">
        <v>96</v>
      </c>
      <c r="C53">
        <v>2687.9369938854129</v>
      </c>
      <c r="D53">
        <v>7.4708171206225677E-3</v>
      </c>
      <c r="E53">
        <v>8.4636113385389324E-3</v>
      </c>
      <c r="F53">
        <v>3.5715122868721711</v>
      </c>
    </row>
    <row r="54" spans="1:6" x14ac:dyDescent="0.45">
      <c r="A54">
        <v>1952</v>
      </c>
      <c r="B54">
        <v>112</v>
      </c>
      <c r="C54">
        <v>2680.667475660357</v>
      </c>
      <c r="D54">
        <v>8.7159533073929967E-3</v>
      </c>
      <c r="E54">
        <v>8.4407215248955107E-3</v>
      </c>
      <c r="F54">
        <v>4.1780638970303414</v>
      </c>
    </row>
    <row r="55" spans="1:6" x14ac:dyDescent="0.45">
      <c r="A55">
        <v>1953</v>
      </c>
      <c r="B55">
        <v>101</v>
      </c>
      <c r="C55">
        <v>2637.6449061390408</v>
      </c>
      <c r="D55">
        <v>7.859922178988326E-3</v>
      </c>
      <c r="E55">
        <v>8.305254693626021E-3</v>
      </c>
      <c r="F55">
        <v>3.829173508720809</v>
      </c>
    </row>
    <row r="56" spans="1:6" x14ac:dyDescent="0.45">
      <c r="A56">
        <v>1954</v>
      </c>
      <c r="B56">
        <v>97</v>
      </c>
      <c r="C56">
        <v>2591.8014398802438</v>
      </c>
      <c r="D56">
        <v>7.5486381322957203E-3</v>
      </c>
      <c r="E56">
        <v>8.1609055955227123E-3</v>
      </c>
      <c r="F56">
        <v>3.7425706501838332</v>
      </c>
    </row>
    <row r="57" spans="1:6" x14ac:dyDescent="0.45">
      <c r="A57">
        <v>1955</v>
      </c>
      <c r="B57">
        <v>122</v>
      </c>
      <c r="C57">
        <v>2693.6153511161501</v>
      </c>
      <c r="D57">
        <v>9.4941634241245132E-3</v>
      </c>
      <c r="E57">
        <v>8.4814910019207993E-3</v>
      </c>
      <c r="F57">
        <v>4.5292287166928649</v>
      </c>
    </row>
    <row r="58" spans="1:6" x14ac:dyDescent="0.45">
      <c r="A58">
        <v>1956</v>
      </c>
      <c r="B58">
        <v>122</v>
      </c>
      <c r="C58">
        <v>2750.5535245549172</v>
      </c>
      <c r="D58">
        <v>9.4941634241245132E-3</v>
      </c>
      <c r="E58">
        <v>8.6607744343108767E-3</v>
      </c>
      <c r="F58">
        <v>4.4354708574428319</v>
      </c>
    </row>
    <row r="59" spans="1:6" x14ac:dyDescent="0.45">
      <c r="A59">
        <v>1957</v>
      </c>
      <c r="B59">
        <v>127</v>
      </c>
      <c r="C59">
        <v>2662.231245324916</v>
      </c>
      <c r="D59">
        <v>9.8832684824902723E-3</v>
      </c>
      <c r="E59">
        <v>8.3826706522515792E-3</v>
      </c>
      <c r="F59">
        <v>4.7704345827591723</v>
      </c>
    </row>
    <row r="60" spans="1:6" x14ac:dyDescent="0.45">
      <c r="A60">
        <v>1958</v>
      </c>
      <c r="B60">
        <v>95</v>
      </c>
      <c r="C60">
        <v>2726.5601907597988</v>
      </c>
      <c r="D60">
        <v>7.3929961089494161E-3</v>
      </c>
      <c r="E60">
        <v>8.585225694731172E-3</v>
      </c>
      <c r="F60">
        <v>3.4842436386312361</v>
      </c>
    </row>
    <row r="61" spans="1:6" x14ac:dyDescent="0.45">
      <c r="A61">
        <v>1959</v>
      </c>
      <c r="B61">
        <v>102</v>
      </c>
      <c r="C61">
        <v>2570.6049000755561</v>
      </c>
      <c r="D61">
        <v>7.9377431906614785E-3</v>
      </c>
      <c r="E61">
        <v>8.0941632295234885E-3</v>
      </c>
      <c r="F61">
        <v>3.967937663115868</v>
      </c>
    </row>
    <row r="62" spans="1:6" x14ac:dyDescent="0.45">
      <c r="A62">
        <v>1960</v>
      </c>
      <c r="B62">
        <v>114</v>
      </c>
      <c r="C62">
        <v>2697.5586771064882</v>
      </c>
      <c r="D62">
        <v>8.8715953307393E-3</v>
      </c>
      <c r="E62">
        <v>8.4939075052240035E-3</v>
      </c>
      <c r="F62">
        <v>4.226043383874825</v>
      </c>
    </row>
    <row r="63" spans="1:6" x14ac:dyDescent="0.45">
      <c r="A63">
        <v>1961</v>
      </c>
      <c r="B63">
        <v>112</v>
      </c>
      <c r="C63">
        <v>2789.1736378805831</v>
      </c>
      <c r="D63">
        <v>8.7159533073929967E-3</v>
      </c>
      <c r="E63">
        <v>8.7823790812138099E-3</v>
      </c>
      <c r="F63">
        <v>4.0155262648009877</v>
      </c>
    </row>
    <row r="64" spans="1:6" x14ac:dyDescent="0.45">
      <c r="A64">
        <v>1962</v>
      </c>
      <c r="B64">
        <v>96</v>
      </c>
      <c r="C64">
        <v>2558.4464522407388</v>
      </c>
      <c r="D64">
        <v>7.4708171206225677E-3</v>
      </c>
      <c r="E64">
        <v>8.0558794538293857E-3</v>
      </c>
      <c r="F64">
        <v>3.7522770865859352</v>
      </c>
    </row>
    <row r="65" spans="1:6" x14ac:dyDescent="0.45">
      <c r="A65">
        <v>1963</v>
      </c>
      <c r="B65">
        <v>121</v>
      </c>
      <c r="C65">
        <v>2692.3826903242152</v>
      </c>
      <c r="D65">
        <v>9.4163424124513624E-3</v>
      </c>
      <c r="E65">
        <v>8.4776096751341522E-3</v>
      </c>
      <c r="F65">
        <v>4.4941605231249371</v>
      </c>
    </row>
    <row r="66" spans="1:6" x14ac:dyDescent="0.45">
      <c r="A66">
        <v>1964</v>
      </c>
      <c r="B66">
        <v>114</v>
      </c>
      <c r="C66">
        <v>2712.2069356589532</v>
      </c>
      <c r="D66">
        <v>8.8715953307393E-3</v>
      </c>
      <c r="E66">
        <v>8.5400310443755987E-3</v>
      </c>
      <c r="F66">
        <v>4.2032191018014178</v>
      </c>
    </row>
    <row r="67" spans="1:6" x14ac:dyDescent="0.45">
      <c r="A67">
        <v>1965</v>
      </c>
      <c r="B67">
        <v>106</v>
      </c>
      <c r="C67">
        <v>2780.9887189055189</v>
      </c>
      <c r="D67">
        <v>8.2490272373540851E-3</v>
      </c>
      <c r="E67">
        <v>8.7566069097678428E-3</v>
      </c>
      <c r="F67">
        <v>3.8115940305474219</v>
      </c>
    </row>
    <row r="68" spans="1:6" x14ac:dyDescent="0.45">
      <c r="A68">
        <v>1966</v>
      </c>
      <c r="B68">
        <v>110</v>
      </c>
      <c r="C68">
        <v>2617.8417523676198</v>
      </c>
      <c r="D68">
        <v>8.5603112840466934E-3</v>
      </c>
      <c r="E68">
        <v>8.2428997362070412E-3</v>
      </c>
      <c r="F68">
        <v>4.2019346624185419</v>
      </c>
    </row>
    <row r="69" spans="1:6" x14ac:dyDescent="0.45">
      <c r="A69">
        <v>1967</v>
      </c>
      <c r="B69">
        <v>108</v>
      </c>
      <c r="C69">
        <v>2681.9804672082282</v>
      </c>
      <c r="D69">
        <v>8.4046692607003884E-3</v>
      </c>
      <c r="E69">
        <v>8.4448557922452462E-3</v>
      </c>
      <c r="F69">
        <v>4.0268749649926114</v>
      </c>
    </row>
    <row r="70" spans="1:6" x14ac:dyDescent="0.45">
      <c r="A70">
        <v>1968</v>
      </c>
      <c r="B70">
        <v>90</v>
      </c>
      <c r="C70">
        <v>2746.6298470974129</v>
      </c>
      <c r="D70">
        <v>7.0038910505836579E-3</v>
      </c>
      <c r="E70">
        <v>8.6484197991041588E-3</v>
      </c>
      <c r="F70">
        <v>3.276742954465099</v>
      </c>
    </row>
    <row r="71" spans="1:6" x14ac:dyDescent="0.45">
      <c r="A71">
        <v>1969</v>
      </c>
      <c r="B71">
        <v>98</v>
      </c>
      <c r="C71">
        <v>2608.9375448393048</v>
      </c>
      <c r="D71">
        <v>7.6264591439688719E-3</v>
      </c>
      <c r="E71">
        <v>8.2148627130294947E-3</v>
      </c>
      <c r="F71">
        <v>3.7563183600869299</v>
      </c>
    </row>
    <row r="72" spans="1:6" x14ac:dyDescent="0.45">
      <c r="A72">
        <v>1970</v>
      </c>
      <c r="B72">
        <v>103</v>
      </c>
      <c r="C72">
        <v>2650.939985032996</v>
      </c>
      <c r="D72">
        <v>8.015564202334631E-3</v>
      </c>
      <c r="E72">
        <v>8.3471174235670974E-3</v>
      </c>
      <c r="F72">
        <v>3.8854142523606758</v>
      </c>
    </row>
    <row r="73" spans="1:6" x14ac:dyDescent="0.45">
      <c r="A73">
        <v>1971</v>
      </c>
      <c r="B73">
        <v>98</v>
      </c>
      <c r="C73">
        <v>2642.2976487295682</v>
      </c>
      <c r="D73">
        <v>7.6264591439688719E-3</v>
      </c>
      <c r="E73">
        <v>8.3199049644597754E-3</v>
      </c>
      <c r="F73">
        <v>3.7088932825989138</v>
      </c>
    </row>
    <row r="74" spans="1:6" x14ac:dyDescent="0.45">
      <c r="A74">
        <v>1972</v>
      </c>
      <c r="B74">
        <v>93</v>
      </c>
      <c r="C74">
        <v>2651.2307172800652</v>
      </c>
      <c r="D74">
        <v>7.2373540856031128E-3</v>
      </c>
      <c r="E74">
        <v>8.3480328634558901E-3</v>
      </c>
      <c r="F74">
        <v>3.507804861864682</v>
      </c>
    </row>
    <row r="75" spans="1:6" x14ac:dyDescent="0.45">
      <c r="A75">
        <v>1973</v>
      </c>
      <c r="B75">
        <v>113</v>
      </c>
      <c r="C75">
        <v>2681.0840669598379</v>
      </c>
      <c r="D75">
        <v>8.7937743190661475E-3</v>
      </c>
      <c r="E75">
        <v>8.4420332620581909E-3</v>
      </c>
      <c r="F75">
        <v>4.2147130480743966</v>
      </c>
    </row>
    <row r="76" spans="1:6" x14ac:dyDescent="0.45">
      <c r="A76">
        <v>1974</v>
      </c>
      <c r="B76">
        <v>113</v>
      </c>
      <c r="C76">
        <v>2711.5688730693469</v>
      </c>
      <c r="D76">
        <v>8.7937743190661475E-3</v>
      </c>
      <c r="E76">
        <v>8.5380219519822966E-3</v>
      </c>
      <c r="F76">
        <v>4.167329147427858</v>
      </c>
    </row>
    <row r="77" spans="1:6" x14ac:dyDescent="0.45">
      <c r="A77">
        <v>1975</v>
      </c>
      <c r="B77">
        <v>120</v>
      </c>
      <c r="C77">
        <v>2600.8161599346881</v>
      </c>
      <c r="D77">
        <v>9.3385214007782099E-3</v>
      </c>
      <c r="E77">
        <v>8.1892905937723387E-3</v>
      </c>
      <c r="F77">
        <v>4.6139362654149867</v>
      </c>
    </row>
    <row r="78" spans="1:6" x14ac:dyDescent="0.45">
      <c r="A78">
        <v>1976</v>
      </c>
      <c r="B78">
        <v>120</v>
      </c>
      <c r="C78">
        <v>2750.965316604927</v>
      </c>
      <c r="D78">
        <v>9.3385214007782099E-3</v>
      </c>
      <c r="E78">
        <v>8.6620710598908374E-3</v>
      </c>
      <c r="F78">
        <v>4.3621051590754556</v>
      </c>
    </row>
    <row r="79" spans="1:6" x14ac:dyDescent="0.45">
      <c r="A79">
        <v>1977</v>
      </c>
      <c r="B79">
        <v>103</v>
      </c>
      <c r="C79">
        <v>2698.1715965941589</v>
      </c>
      <c r="D79">
        <v>8.015564202334631E-3</v>
      </c>
      <c r="E79">
        <v>8.4958374285582436E-3</v>
      </c>
      <c r="F79">
        <v>3.8173999062926369</v>
      </c>
    </row>
    <row r="80" spans="1:6" x14ac:dyDescent="0.45">
      <c r="A80">
        <v>1978</v>
      </c>
      <c r="B80">
        <v>98</v>
      </c>
      <c r="C80">
        <v>2696.984671512258</v>
      </c>
      <c r="D80">
        <v>7.6264591439688719E-3</v>
      </c>
      <c r="E80">
        <v>8.4921001115734959E-3</v>
      </c>
      <c r="F80">
        <v>3.6336876896318908</v>
      </c>
    </row>
    <row r="81" spans="1:6" x14ac:dyDescent="0.45">
      <c r="A81">
        <v>1979</v>
      </c>
      <c r="B81">
        <v>106</v>
      </c>
      <c r="C81">
        <v>2703.2313865550609</v>
      </c>
      <c r="D81">
        <v>8.2490272373540851E-3</v>
      </c>
      <c r="E81">
        <v>8.5117693852153863E-3</v>
      </c>
      <c r="F81">
        <v>3.9212329557583341</v>
      </c>
    </row>
    <row r="82" spans="1:6" x14ac:dyDescent="0.45">
      <c r="A82">
        <v>1980</v>
      </c>
      <c r="B82">
        <v>107</v>
      </c>
      <c r="C82">
        <v>2667.9013824461399</v>
      </c>
      <c r="D82">
        <v>8.3268482490272376E-3</v>
      </c>
      <c r="E82">
        <v>8.4005244326561899E-3</v>
      </c>
      <c r="F82">
        <v>4.010642998426504</v>
      </c>
    </row>
    <row r="83" spans="1:6" x14ac:dyDescent="0.45">
      <c r="A83">
        <v>1981</v>
      </c>
      <c r="B83">
        <v>126</v>
      </c>
      <c r="C83">
        <v>2698.4917014426569</v>
      </c>
      <c r="D83">
        <v>9.8054474708171198E-3</v>
      </c>
      <c r="E83">
        <v>8.4968453550950014E-3</v>
      </c>
      <c r="F83">
        <v>4.6692750595689576</v>
      </c>
    </row>
    <row r="84" spans="1:6" x14ac:dyDescent="0.45">
      <c r="A84">
        <v>1982</v>
      </c>
      <c r="B84">
        <v>117</v>
      </c>
      <c r="C84">
        <v>2748.375615054309</v>
      </c>
      <c r="D84">
        <v>9.1050583657587541E-3</v>
      </c>
      <c r="E84">
        <v>8.6539167662979775E-3</v>
      </c>
      <c r="F84">
        <v>4.2570600379049006</v>
      </c>
    </row>
    <row r="85" spans="1:6" x14ac:dyDescent="0.45">
      <c r="A85">
        <v>1983</v>
      </c>
      <c r="B85">
        <v>133</v>
      </c>
      <c r="C85">
        <v>2639.1221741949071</v>
      </c>
      <c r="D85">
        <v>1.035019455252918E-2</v>
      </c>
      <c r="E85">
        <v>8.3099062247802592E-3</v>
      </c>
      <c r="F85">
        <v>5.0395544890062967</v>
      </c>
    </row>
    <row r="86" spans="1:6" x14ac:dyDescent="0.45">
      <c r="A86">
        <v>1984</v>
      </c>
      <c r="B86">
        <v>97</v>
      </c>
      <c r="C86">
        <v>2718.6447167877218</v>
      </c>
      <c r="D86">
        <v>7.5486381322957203E-3</v>
      </c>
      <c r="E86">
        <v>8.5603019352039292E-3</v>
      </c>
      <c r="F86">
        <v>3.5679542604821348</v>
      </c>
    </row>
    <row r="87" spans="1:6" x14ac:dyDescent="0.45">
      <c r="A87">
        <v>1985</v>
      </c>
      <c r="B87">
        <v>98</v>
      </c>
      <c r="C87">
        <v>2623.3425875161679</v>
      </c>
      <c r="D87">
        <v>7.6264591439688719E-3</v>
      </c>
      <c r="E87">
        <v>8.2602204289318314E-3</v>
      </c>
      <c r="F87">
        <v>3.7356920314699851</v>
      </c>
    </row>
    <row r="88" spans="1:6" x14ac:dyDescent="0.45">
      <c r="A88">
        <v>1986</v>
      </c>
      <c r="B88">
        <v>89</v>
      </c>
      <c r="C88">
        <v>2685.5111310258931</v>
      </c>
      <c r="D88">
        <v>6.9260700389105062E-3</v>
      </c>
      <c r="E88">
        <v>8.455972930179554E-3</v>
      </c>
      <c r="F88">
        <v>3.3140804732394131</v>
      </c>
    </row>
    <row r="89" spans="1:6" x14ac:dyDescent="0.45">
      <c r="A89">
        <v>1987</v>
      </c>
      <c r="B89">
        <v>111</v>
      </c>
      <c r="C89">
        <v>2667.8744832353182</v>
      </c>
      <c r="D89">
        <v>8.6381322957198442E-3</v>
      </c>
      <c r="E89">
        <v>8.400439734069046E-3</v>
      </c>
      <c r="F89">
        <v>4.1606155273613501</v>
      </c>
    </row>
    <row r="90" spans="1:6" x14ac:dyDescent="0.45">
      <c r="A90">
        <v>1988</v>
      </c>
      <c r="B90">
        <v>108</v>
      </c>
      <c r="C90">
        <v>2691.327151169171</v>
      </c>
      <c r="D90">
        <v>8.4046692607003884E-3</v>
      </c>
      <c r="E90">
        <v>8.4742860581069578E-3</v>
      </c>
      <c r="F90">
        <v>4.0128900699821068</v>
      </c>
    </row>
    <row r="91" spans="1:6" x14ac:dyDescent="0.45">
      <c r="A91">
        <v>1989</v>
      </c>
      <c r="B91">
        <v>128</v>
      </c>
      <c r="C91">
        <v>2646.227239813853</v>
      </c>
      <c r="D91">
        <v>9.9610894941634248E-3</v>
      </c>
      <c r="E91">
        <v>8.3322782201322252E-3</v>
      </c>
      <c r="F91">
        <v>4.8370751413247506</v>
      </c>
    </row>
    <row r="92" spans="1:6" x14ac:dyDescent="0.45">
      <c r="A92">
        <v>1990</v>
      </c>
      <c r="B92">
        <v>139</v>
      </c>
      <c r="C92">
        <v>2716.0553770780912</v>
      </c>
      <c r="D92">
        <v>1.081712062256809E-2</v>
      </c>
      <c r="E92">
        <v>8.5521487809538041E-3</v>
      </c>
      <c r="F92">
        <v>5.1177159778507537</v>
      </c>
    </row>
    <row r="93" spans="1:6" x14ac:dyDescent="0.45">
      <c r="A93">
        <v>1991</v>
      </c>
      <c r="B93">
        <v>116</v>
      </c>
      <c r="C93">
        <v>2654.2096866757702</v>
      </c>
      <c r="D93">
        <v>9.0272373540856033E-3</v>
      </c>
      <c r="E93">
        <v>8.3574128597921175E-3</v>
      </c>
      <c r="F93">
        <v>4.3704158184006427</v>
      </c>
    </row>
    <row r="94" spans="1:6" x14ac:dyDescent="0.45">
      <c r="A94">
        <v>1992</v>
      </c>
      <c r="B94">
        <v>115</v>
      </c>
      <c r="C94">
        <v>2581.3213828971798</v>
      </c>
      <c r="D94">
        <v>8.9494163424124508E-3</v>
      </c>
      <c r="E94">
        <v>8.127906634121395E-3</v>
      </c>
      <c r="F94">
        <v>4.455082608540911</v>
      </c>
    </row>
    <row r="95" spans="1:6" x14ac:dyDescent="0.45">
      <c r="A95">
        <v>1993</v>
      </c>
      <c r="B95">
        <v>115</v>
      </c>
      <c r="C95">
        <v>2637.736141859526</v>
      </c>
      <c r="D95">
        <v>8.9494163424124508E-3</v>
      </c>
      <c r="E95">
        <v>8.3055419710734227E-3</v>
      </c>
      <c r="F95">
        <v>4.3597992299157111</v>
      </c>
    </row>
    <row r="96" spans="1:6" x14ac:dyDescent="0.45">
      <c r="A96">
        <v>1994</v>
      </c>
      <c r="B96">
        <v>90</v>
      </c>
      <c r="C96">
        <v>2631.548702230968</v>
      </c>
      <c r="D96">
        <v>7.0038910505836579E-3</v>
      </c>
      <c r="E96">
        <v>8.28605934022459E-3</v>
      </c>
      <c r="F96">
        <v>3.420039307032396</v>
      </c>
    </row>
    <row r="97" spans="1:6" x14ac:dyDescent="0.45">
      <c r="A97">
        <v>1995</v>
      </c>
      <c r="B97">
        <v>104</v>
      </c>
      <c r="C97">
        <v>2664.5634055737219</v>
      </c>
      <c r="D97">
        <v>8.0933852140077818E-3</v>
      </c>
      <c r="E97">
        <v>8.3900140155707282E-3</v>
      </c>
      <c r="F97">
        <v>3.9030784473904152</v>
      </c>
    </row>
    <row r="98" spans="1:6" x14ac:dyDescent="0.45">
      <c r="A98">
        <v>1996</v>
      </c>
      <c r="B98">
        <v>109</v>
      </c>
      <c r="C98">
        <v>2641.638581690449</v>
      </c>
      <c r="D98">
        <v>8.4824902723735409E-3</v>
      </c>
      <c r="E98">
        <v>8.3178297345426165E-3</v>
      </c>
      <c r="F98">
        <v>4.1262268334318559</v>
      </c>
    </row>
    <row r="99" spans="1:6" x14ac:dyDescent="0.45">
      <c r="A99">
        <v>1997</v>
      </c>
      <c r="B99">
        <v>83</v>
      </c>
      <c r="C99">
        <v>2655.8417597775929</v>
      </c>
      <c r="D99">
        <v>6.4591439688715946E-3</v>
      </c>
      <c r="E99">
        <v>8.3625518315914322E-3</v>
      </c>
      <c r="F99">
        <v>3.1251861935837111</v>
      </c>
    </row>
    <row r="100" spans="1:6" x14ac:dyDescent="0.45">
      <c r="A100">
        <v>1998</v>
      </c>
      <c r="B100">
        <v>109</v>
      </c>
      <c r="C100">
        <v>2729.7470620434992</v>
      </c>
      <c r="D100">
        <v>8.4824902723735409E-3</v>
      </c>
      <c r="E100">
        <v>8.5952603197958742E-3</v>
      </c>
      <c r="F100">
        <v>3.9930439532519251</v>
      </c>
    </row>
    <row r="101" spans="1:6" x14ac:dyDescent="0.45">
      <c r="A101">
        <v>1999</v>
      </c>
      <c r="B101">
        <v>117</v>
      </c>
      <c r="C101">
        <v>2630.077265314711</v>
      </c>
      <c r="D101">
        <v>9.1050583657587541E-3</v>
      </c>
      <c r="E101">
        <v>8.2814261698055287E-3</v>
      </c>
      <c r="F101">
        <v>4.4485385103695787</v>
      </c>
    </row>
    <row r="102" spans="1:6" x14ac:dyDescent="0.45">
      <c r="A102">
        <v>2000</v>
      </c>
      <c r="B102">
        <v>115</v>
      </c>
      <c r="C102">
        <v>2635.2563128050228</v>
      </c>
      <c r="D102">
        <v>8.9494163424124508E-3</v>
      </c>
      <c r="E102">
        <v>8.297733637265348E-3</v>
      </c>
      <c r="F102">
        <v>4.363901888450143</v>
      </c>
    </row>
    <row r="103" spans="1:6" x14ac:dyDescent="0.45">
      <c r="A103">
        <v>2001</v>
      </c>
      <c r="B103">
        <v>99</v>
      </c>
      <c r="C103">
        <v>2600.7084369196759</v>
      </c>
      <c r="D103">
        <v>7.7042801556420244E-3</v>
      </c>
      <c r="E103">
        <v>8.1889514021419741E-3</v>
      </c>
      <c r="F103">
        <v>3.8066550865370088</v>
      </c>
    </row>
    <row r="104" spans="1:6" x14ac:dyDescent="0.45">
      <c r="A104">
        <v>2002</v>
      </c>
      <c r="B104">
        <v>100</v>
      </c>
      <c r="C104">
        <v>2628.9176851492562</v>
      </c>
      <c r="D104">
        <v>7.7821011673151752E-3</v>
      </c>
      <c r="E104">
        <v>8.2777749548184881E-3</v>
      </c>
      <c r="F104">
        <v>3.803846752787261</v>
      </c>
    </row>
    <row r="105" spans="1:6" x14ac:dyDescent="0.45">
      <c r="A105">
        <v>2003</v>
      </c>
      <c r="B105">
        <v>117</v>
      </c>
      <c r="C105">
        <v>2680.2647274364508</v>
      </c>
      <c r="D105">
        <v>9.1050583657587541E-3</v>
      </c>
      <c r="E105">
        <v>8.4394533759611472E-3</v>
      </c>
      <c r="F105">
        <v>4.3652404481666656</v>
      </c>
    </row>
    <row r="106" spans="1:6" x14ac:dyDescent="0.45">
      <c r="A106">
        <v>2004</v>
      </c>
      <c r="B106">
        <v>135</v>
      </c>
      <c r="C106">
        <v>2730.6546310444601</v>
      </c>
      <c r="D106">
        <v>1.0505836575875491E-2</v>
      </c>
      <c r="E106">
        <v>8.5981180174668059E-3</v>
      </c>
      <c r="F106">
        <v>4.9438694467327524</v>
      </c>
    </row>
    <row r="107" spans="1:6" x14ac:dyDescent="0.45">
      <c r="A107">
        <v>2005</v>
      </c>
      <c r="B107">
        <v>103</v>
      </c>
      <c r="C107">
        <v>2529.034622556343</v>
      </c>
      <c r="D107">
        <v>8.015564202334631E-3</v>
      </c>
      <c r="E107">
        <v>7.9632692863402313E-3</v>
      </c>
      <c r="F107">
        <v>4.0727002739048226</v>
      </c>
    </row>
    <row r="108" spans="1:6" x14ac:dyDescent="0.45">
      <c r="A108">
        <v>2006</v>
      </c>
      <c r="B108">
        <v>137</v>
      </c>
      <c r="C108">
        <v>2673.6514531068478</v>
      </c>
      <c r="D108">
        <v>1.0661478599221791E-2</v>
      </c>
      <c r="E108">
        <v>8.4186299028930576E-3</v>
      </c>
      <c r="F108">
        <v>5.1240785271693774</v>
      </c>
    </row>
    <row r="109" spans="1:6" x14ac:dyDescent="0.45">
      <c r="A109">
        <v>2007</v>
      </c>
      <c r="B109">
        <v>114</v>
      </c>
      <c r="C109">
        <v>2653.9957239602199</v>
      </c>
      <c r="D109">
        <v>8.8715953307393E-3</v>
      </c>
      <c r="E109">
        <v>8.3567391471011318E-3</v>
      </c>
      <c r="F109">
        <v>4.2954100856610378</v>
      </c>
    </row>
    <row r="110" spans="1:6" x14ac:dyDescent="0.45">
      <c r="A110">
        <v>2008</v>
      </c>
      <c r="B110">
        <v>118</v>
      </c>
      <c r="C110">
        <v>2767.12087242299</v>
      </c>
      <c r="D110">
        <v>9.1828793774319066E-3</v>
      </c>
      <c r="E110">
        <v>8.7129406843326294E-3</v>
      </c>
      <c r="F110">
        <v>4.2643601577358989</v>
      </c>
    </row>
    <row r="111" spans="1:6" x14ac:dyDescent="0.45">
      <c r="A111">
        <v>2009</v>
      </c>
      <c r="B111">
        <v>110</v>
      </c>
      <c r="C111">
        <v>2746.279472407869</v>
      </c>
      <c r="D111">
        <v>8.5603112840466934E-3</v>
      </c>
      <c r="E111">
        <v>8.6473165607462987E-3</v>
      </c>
      <c r="F111">
        <v>4.0054190079771734</v>
      </c>
    </row>
    <row r="112" spans="1:6" x14ac:dyDescent="0.45">
      <c r="A112">
        <v>2010</v>
      </c>
      <c r="B112">
        <v>100</v>
      </c>
      <c r="C112">
        <v>2604.548008760135</v>
      </c>
      <c r="D112">
        <v>7.7821011673151752E-3</v>
      </c>
      <c r="E112">
        <v>8.2010412107342001E-3</v>
      </c>
      <c r="F112">
        <v>3.8394377705329328</v>
      </c>
    </row>
    <row r="113" spans="1:6" x14ac:dyDescent="0.45">
      <c r="A113">
        <v>2011</v>
      </c>
      <c r="B113">
        <v>117</v>
      </c>
      <c r="C113">
        <v>2773.2595547663891</v>
      </c>
      <c r="D113">
        <v>9.1050583657587541E-3</v>
      </c>
      <c r="E113">
        <v>8.7322697912289096E-3</v>
      </c>
      <c r="F113">
        <v>4.2188622337535131</v>
      </c>
    </row>
    <row r="114" spans="1:6" x14ac:dyDescent="0.45">
      <c r="A114">
        <v>2012</v>
      </c>
      <c r="B114">
        <v>110</v>
      </c>
      <c r="C114">
        <v>2607.434386957977</v>
      </c>
      <c r="D114">
        <v>8.5603112840466934E-3</v>
      </c>
      <c r="E114">
        <v>8.2101296615788976E-3</v>
      </c>
      <c r="F114">
        <v>4.2187063479029296</v>
      </c>
    </row>
    <row r="115" spans="1:6" x14ac:dyDescent="0.45">
      <c r="A115">
        <v>2013</v>
      </c>
      <c r="B115">
        <v>105</v>
      </c>
      <c r="C115">
        <v>2660.448647781298</v>
      </c>
      <c r="D115">
        <v>8.1712062256809343E-3</v>
      </c>
      <c r="E115">
        <v>8.377057718311336E-3</v>
      </c>
      <c r="F115">
        <v>3.9467027520927931</v>
      </c>
    </row>
    <row r="116" spans="1:6" x14ac:dyDescent="0.45">
      <c r="A116">
        <v>2014</v>
      </c>
      <c r="B116">
        <v>116</v>
      </c>
      <c r="C116">
        <v>2659.5285379421198</v>
      </c>
      <c r="D116">
        <v>9.0272373540856033E-3</v>
      </c>
      <c r="E116">
        <v>8.3741605328172975E-3</v>
      </c>
      <c r="F116">
        <v>4.3616753249716229</v>
      </c>
    </row>
    <row r="117" spans="1:6" x14ac:dyDescent="0.45">
      <c r="A117">
        <v>2015</v>
      </c>
      <c r="B117">
        <v>111</v>
      </c>
      <c r="C117">
        <v>2632.0425504819541</v>
      </c>
      <c r="D117">
        <v>8.6381322957198442E-3</v>
      </c>
      <c r="E117">
        <v>8.2876143393432709E-3</v>
      </c>
      <c r="F117">
        <v>4.217257049270529</v>
      </c>
    </row>
    <row r="118" spans="1:6" x14ac:dyDescent="0.45">
      <c r="A118">
        <v>2016</v>
      </c>
      <c r="B118">
        <v>97</v>
      </c>
      <c r="C118">
        <v>2649.7496229430958</v>
      </c>
      <c r="D118">
        <v>7.5486381322957203E-3</v>
      </c>
      <c r="E118">
        <v>8.3433692843421208E-3</v>
      </c>
      <c r="F118">
        <v>3.660723230607025</v>
      </c>
    </row>
    <row r="119" spans="1:6" x14ac:dyDescent="0.45">
      <c r="A119">
        <v>2017</v>
      </c>
      <c r="B119">
        <v>100</v>
      </c>
      <c r="C119">
        <v>2625.87405747201</v>
      </c>
      <c r="D119">
        <v>7.7821011673151752E-3</v>
      </c>
      <c r="E119">
        <v>8.2681913664464299E-3</v>
      </c>
      <c r="F119">
        <v>3.8082557583234711</v>
      </c>
    </row>
    <row r="120" spans="1:6" x14ac:dyDescent="0.45">
      <c r="A120">
        <v>2018</v>
      </c>
      <c r="B120">
        <v>111</v>
      </c>
      <c r="C120">
        <v>2726.404142615977</v>
      </c>
      <c r="D120">
        <v>8.6381322957198442E-3</v>
      </c>
      <c r="E120">
        <v>8.5847343398956898E-3</v>
      </c>
      <c r="F120">
        <v>4.0712966307884138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8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42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43</v>
      </c>
      <c r="B2">
        <v>2</v>
      </c>
      <c r="C2">
        <v>11.815600832065099</v>
      </c>
      <c r="D2">
        <v>1.5564202334630351E-4</v>
      </c>
      <c r="E2">
        <v>3.7204240055256047E-5</v>
      </c>
      <c r="F2">
        <v>16.92677358033637</v>
      </c>
    </row>
    <row r="3" spans="1:6" x14ac:dyDescent="0.45">
      <c r="A3" t="s">
        <v>44</v>
      </c>
      <c r="B3">
        <v>2445</v>
      </c>
      <c r="C3">
        <v>63387.896521269977</v>
      </c>
      <c r="D3">
        <v>0.19027237354085599</v>
      </c>
      <c r="E3">
        <v>0.1995919253107403</v>
      </c>
      <c r="F3">
        <v>3.8572032425457961</v>
      </c>
    </row>
    <row r="4" spans="1:6" x14ac:dyDescent="0.45">
      <c r="A4" t="s">
        <v>45</v>
      </c>
      <c r="B4">
        <v>2542</v>
      </c>
      <c r="C4">
        <v>63533.534101537443</v>
      </c>
      <c r="D4">
        <v>0.19782101167315169</v>
      </c>
      <c r="E4">
        <v>0.2000505000014689</v>
      </c>
      <c r="F4">
        <v>4.0010366744866577</v>
      </c>
    </row>
    <row r="5" spans="1:6" x14ac:dyDescent="0.45">
      <c r="A5" t="s">
        <v>46</v>
      </c>
      <c r="B5">
        <v>1</v>
      </c>
      <c r="C5">
        <v>15.913131981135811</v>
      </c>
      <c r="D5">
        <v>7.7821011673151756E-5</v>
      </c>
      <c r="E5">
        <v>5.0106295115394007E-5</v>
      </c>
      <c r="F5">
        <v>6.2841180553611196</v>
      </c>
    </row>
    <row r="6" spans="1:6" x14ac:dyDescent="0.45">
      <c r="A6" t="s">
        <v>47</v>
      </c>
      <c r="B6">
        <v>2515</v>
      </c>
      <c r="C6">
        <v>63388.231062706538</v>
      </c>
      <c r="D6">
        <v>0.19571984435797671</v>
      </c>
      <c r="E6">
        <v>0.1995929786943211</v>
      </c>
      <c r="F6">
        <v>3.9676134794044762</v>
      </c>
    </row>
    <row r="7" spans="1:6" x14ac:dyDescent="0.45">
      <c r="A7" t="s">
        <v>48</v>
      </c>
      <c r="B7">
        <v>2542</v>
      </c>
      <c r="C7">
        <v>63649.641993832724</v>
      </c>
      <c r="D7">
        <v>0.19782101167315169</v>
      </c>
      <c r="E7">
        <v>0.200416093419752</v>
      </c>
      <c r="F7">
        <v>3.993738095567458</v>
      </c>
    </row>
    <row r="8" spans="1:6" x14ac:dyDescent="0.45">
      <c r="A8" t="s">
        <v>49</v>
      </c>
      <c r="B8">
        <v>2803</v>
      </c>
      <c r="C8">
        <v>63600.447254578939</v>
      </c>
      <c r="D8">
        <v>0.21813229571984441</v>
      </c>
      <c r="E8">
        <v>0.200261192038547</v>
      </c>
      <c r="F8">
        <v>4.407201711617204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50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>
        <v>1</v>
      </c>
      <c r="B2">
        <v>2909</v>
      </c>
      <c r="C2">
        <v>51927.96377469274</v>
      </c>
      <c r="D2">
        <v>0.22638132295719851</v>
      </c>
      <c r="E2">
        <v>0.16350759113420801</v>
      </c>
      <c r="F2">
        <v>5.6019912751089054</v>
      </c>
    </row>
    <row r="3" spans="1:6" x14ac:dyDescent="0.45">
      <c r="A3">
        <v>2</v>
      </c>
      <c r="B3">
        <v>9941</v>
      </c>
      <c r="C3">
        <v>265659.5158920461</v>
      </c>
      <c r="D3">
        <v>0.77361867704280152</v>
      </c>
      <c r="E3">
        <v>0.83649240886579201</v>
      </c>
      <c r="F3">
        <v>3.742007872979654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4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51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52</v>
      </c>
      <c r="B2">
        <v>3890</v>
      </c>
      <c r="C2">
        <v>152329.40761065271</v>
      </c>
      <c r="D2">
        <v>0.30272373540856029</v>
      </c>
      <c r="E2">
        <v>0.47964550671361439</v>
      </c>
      <c r="F2">
        <v>2.5536763130745381</v>
      </c>
    </row>
    <row r="3" spans="1:6" x14ac:dyDescent="0.45">
      <c r="A3" t="s">
        <v>53</v>
      </c>
      <c r="B3">
        <v>2909</v>
      </c>
      <c r="C3">
        <v>51927.96377469274</v>
      </c>
      <c r="D3">
        <v>0.22638132295719851</v>
      </c>
      <c r="E3">
        <v>0.16350759113420801</v>
      </c>
      <c r="F3">
        <v>5.6019912751089054</v>
      </c>
    </row>
    <row r="4" spans="1:6" x14ac:dyDescent="0.45">
      <c r="A4" t="s">
        <v>54</v>
      </c>
      <c r="B4">
        <v>6051</v>
      </c>
      <c r="C4">
        <v>113330.1082813934</v>
      </c>
      <c r="D4">
        <v>0.47089494163424123</v>
      </c>
      <c r="E4">
        <v>0.35684690215217751</v>
      </c>
      <c r="F4">
        <v>5.339269583132884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5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55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56</v>
      </c>
      <c r="B2">
        <v>7178</v>
      </c>
      <c r="C2">
        <v>191001.0577008863</v>
      </c>
      <c r="D2">
        <v>0.5585992217898833</v>
      </c>
      <c r="E2">
        <v>0.60141242942358331</v>
      </c>
      <c r="F2">
        <v>3.7580943720432041</v>
      </c>
    </row>
    <row r="3" spans="1:6" x14ac:dyDescent="0.45">
      <c r="A3" t="s">
        <v>57</v>
      </c>
      <c r="B3">
        <v>2594</v>
      </c>
      <c r="C3">
        <v>63147.393942214629</v>
      </c>
      <c r="D3">
        <v>0.2018677042801556</v>
      </c>
      <c r="E3">
        <v>0.19883464552342711</v>
      </c>
      <c r="F3">
        <v>4.1078496483540334</v>
      </c>
    </row>
    <row r="4" spans="1:6" x14ac:dyDescent="0.45">
      <c r="A4" t="s">
        <v>10</v>
      </c>
      <c r="B4">
        <v>878</v>
      </c>
      <c r="C4">
        <v>15993.565076270341</v>
      </c>
      <c r="D4">
        <v>6.8326848249027239E-2</v>
      </c>
      <c r="E4">
        <v>5.0359557917878953E-2</v>
      </c>
      <c r="F4">
        <v>5.489707865713374</v>
      </c>
    </row>
    <row r="5" spans="1:6" x14ac:dyDescent="0.45">
      <c r="A5" t="s">
        <v>54</v>
      </c>
      <c r="B5">
        <v>2200</v>
      </c>
      <c r="C5">
        <v>47445.462947367589</v>
      </c>
      <c r="D5">
        <v>0.17120622568093391</v>
      </c>
      <c r="E5">
        <v>0.14939336713511059</v>
      </c>
      <c r="F5">
        <v>4.6369028002540809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58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5976</v>
      </c>
      <c r="C2">
        <v>158952.1183232248</v>
      </c>
      <c r="D2">
        <v>0.46505836575875492</v>
      </c>
      <c r="E2">
        <v>0.50049869248630829</v>
      </c>
      <c r="F2">
        <v>3.7596227486871032</v>
      </c>
    </row>
    <row r="3" spans="1:6" x14ac:dyDescent="0.45">
      <c r="A3" t="s">
        <v>23</v>
      </c>
      <c r="B3">
        <v>6874</v>
      </c>
      <c r="C3">
        <v>158635.361343514</v>
      </c>
      <c r="D3">
        <v>0.53494163424124519</v>
      </c>
      <c r="E3">
        <v>0.49950130751369171</v>
      </c>
      <c r="F3">
        <v>4.3332078937399228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5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59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60</v>
      </c>
      <c r="B2">
        <v>2661</v>
      </c>
      <c r="C2">
        <v>79780.594398668691</v>
      </c>
      <c r="D2">
        <v>0.20708171206225681</v>
      </c>
      <c r="E2">
        <v>0.251208248141226</v>
      </c>
      <c r="F2">
        <v>3.3353975613453248</v>
      </c>
    </row>
    <row r="3" spans="1:6" x14ac:dyDescent="0.45">
      <c r="A3" t="s">
        <v>61</v>
      </c>
      <c r="B3">
        <v>2870</v>
      </c>
      <c r="C3">
        <v>79279.287355830107</v>
      </c>
      <c r="D3">
        <v>0.22334630350194551</v>
      </c>
      <c r="E3">
        <v>0.2496297632356981</v>
      </c>
      <c r="F3">
        <v>3.620113267565773</v>
      </c>
    </row>
    <row r="4" spans="1:6" x14ac:dyDescent="0.45">
      <c r="A4" t="s">
        <v>62</v>
      </c>
      <c r="B4">
        <v>3798</v>
      </c>
      <c r="C4">
        <v>79359.941629219131</v>
      </c>
      <c r="D4">
        <v>0.29556420233463038</v>
      </c>
      <c r="E4">
        <v>0.24988372247072099</v>
      </c>
      <c r="F4">
        <v>4.7857898103614964</v>
      </c>
    </row>
    <row r="5" spans="1:6" x14ac:dyDescent="0.45">
      <c r="A5" t="s">
        <v>63</v>
      </c>
      <c r="B5">
        <v>3521</v>
      </c>
      <c r="C5">
        <v>79167.656283020886</v>
      </c>
      <c r="D5">
        <v>0.27400778210116727</v>
      </c>
      <c r="E5">
        <v>0.24927826615235479</v>
      </c>
      <c r="F5">
        <v>4.447523351471439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64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65</v>
      </c>
      <c r="B2">
        <v>3890</v>
      </c>
      <c r="C2">
        <v>152329.40761065271</v>
      </c>
      <c r="D2">
        <v>0.30272373540856029</v>
      </c>
      <c r="E2">
        <v>0.47964550671361461</v>
      </c>
      <c r="F2">
        <v>2.5536763130745381</v>
      </c>
    </row>
    <row r="3" spans="1:6" x14ac:dyDescent="0.45">
      <c r="A3" t="s">
        <v>66</v>
      </c>
      <c r="B3">
        <v>8960</v>
      </c>
      <c r="C3">
        <v>165258.07205608609</v>
      </c>
      <c r="D3">
        <v>0.69727626459143965</v>
      </c>
      <c r="E3">
        <v>0.5203544932863855</v>
      </c>
      <c r="F3">
        <v>5.4218229031251859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67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68</v>
      </c>
      <c r="B2">
        <v>3890</v>
      </c>
      <c r="C2">
        <v>152329.40761065271</v>
      </c>
      <c r="D2">
        <v>0.30272373540856029</v>
      </c>
      <c r="E2">
        <v>0.47964550671361461</v>
      </c>
      <c r="F2">
        <v>2.5536763130745381</v>
      </c>
    </row>
    <row r="3" spans="1:6" x14ac:dyDescent="0.45">
      <c r="A3" t="s">
        <v>69</v>
      </c>
      <c r="B3">
        <v>8960</v>
      </c>
      <c r="C3">
        <v>165258.07205608609</v>
      </c>
      <c r="D3">
        <v>0.69727626459143965</v>
      </c>
      <c r="E3">
        <v>0.5203544932863855</v>
      </c>
      <c r="F3">
        <v>5.4218229031251859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4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70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71</v>
      </c>
      <c r="B2">
        <v>6051</v>
      </c>
      <c r="C2">
        <v>113330.1082813934</v>
      </c>
      <c r="D2">
        <v>0.47089494163424123</v>
      </c>
      <c r="E2">
        <v>0.35684690215217751</v>
      </c>
      <c r="F2">
        <v>5.339269583132884</v>
      </c>
    </row>
    <row r="3" spans="1:6" x14ac:dyDescent="0.45">
      <c r="A3" t="s">
        <v>72</v>
      </c>
      <c r="B3">
        <v>2909</v>
      </c>
      <c r="C3">
        <v>51927.96377469274</v>
      </c>
      <c r="D3">
        <v>0.22638132295719851</v>
      </c>
      <c r="E3">
        <v>0.16350759113420801</v>
      </c>
      <c r="F3">
        <v>5.6019912751089054</v>
      </c>
    </row>
    <row r="4" spans="1:6" x14ac:dyDescent="0.45">
      <c r="A4" t="s">
        <v>73</v>
      </c>
      <c r="B4">
        <v>3890</v>
      </c>
      <c r="C4">
        <v>152329.40761065271</v>
      </c>
      <c r="D4">
        <v>0.30272373540856029</v>
      </c>
      <c r="E4">
        <v>0.47964550671361439</v>
      </c>
      <c r="F4">
        <v>2.5536763130745381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22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74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>
        <v>1900</v>
      </c>
      <c r="B2">
        <v>0</v>
      </c>
      <c r="C2">
        <v>3.109573055044748</v>
      </c>
      <c r="D2">
        <v>0</v>
      </c>
      <c r="E2">
        <v>9.7912331377414035E-6</v>
      </c>
      <c r="F2">
        <v>0</v>
      </c>
    </row>
    <row r="3" spans="1:6" x14ac:dyDescent="0.45">
      <c r="A3">
        <v>1901</v>
      </c>
      <c r="B3">
        <v>1</v>
      </c>
      <c r="C3">
        <v>3</v>
      </c>
      <c r="D3">
        <v>7.7821011673151756E-5</v>
      </c>
      <c r="E3">
        <v>9.446216214657002E-6</v>
      </c>
      <c r="F3">
        <v>33.333333333333329</v>
      </c>
    </row>
    <row r="4" spans="1:6" x14ac:dyDescent="0.45">
      <c r="A4">
        <v>1902</v>
      </c>
      <c r="B4">
        <v>0</v>
      </c>
      <c r="C4">
        <v>2</v>
      </c>
      <c r="D4">
        <v>0</v>
      </c>
      <c r="E4">
        <v>6.2974774764380019E-6</v>
      </c>
      <c r="F4">
        <v>0</v>
      </c>
    </row>
    <row r="5" spans="1:6" x14ac:dyDescent="0.45">
      <c r="A5">
        <v>1903</v>
      </c>
      <c r="B5">
        <v>0</v>
      </c>
      <c r="C5">
        <v>5</v>
      </c>
      <c r="D5">
        <v>0</v>
      </c>
      <c r="E5">
        <v>1.5743693691095009E-5</v>
      </c>
      <c r="F5">
        <v>0</v>
      </c>
    </row>
    <row r="6" spans="1:6" x14ac:dyDescent="0.45">
      <c r="A6">
        <v>1904</v>
      </c>
      <c r="B6">
        <v>0</v>
      </c>
      <c r="C6">
        <v>1.478249719685409</v>
      </c>
      <c r="D6">
        <v>0</v>
      </c>
      <c r="E6">
        <v>4.6546221571348274E-6</v>
      </c>
      <c r="F6">
        <v>0</v>
      </c>
    </row>
    <row r="7" spans="1:6" x14ac:dyDescent="0.45">
      <c r="A7">
        <v>1905</v>
      </c>
      <c r="B7">
        <v>0</v>
      </c>
      <c r="C7">
        <v>2</v>
      </c>
      <c r="D7">
        <v>0</v>
      </c>
      <c r="E7">
        <v>6.2974774764380019E-6</v>
      </c>
      <c r="F7">
        <v>0</v>
      </c>
    </row>
    <row r="8" spans="1:6" x14ac:dyDescent="0.45">
      <c r="A8">
        <v>1906</v>
      </c>
      <c r="B8">
        <v>0</v>
      </c>
      <c r="C8">
        <v>3</v>
      </c>
      <c r="D8">
        <v>0</v>
      </c>
      <c r="E8">
        <v>9.446216214657002E-6</v>
      </c>
      <c r="F8">
        <v>0</v>
      </c>
    </row>
    <row r="9" spans="1:6" x14ac:dyDescent="0.45">
      <c r="A9">
        <v>1907</v>
      </c>
      <c r="B9">
        <v>0</v>
      </c>
      <c r="C9">
        <v>1.459075171432924</v>
      </c>
      <c r="D9">
        <v>0</v>
      </c>
      <c r="E9">
        <v>4.5942465142643784E-6</v>
      </c>
      <c r="F9">
        <v>0</v>
      </c>
    </row>
    <row r="10" spans="1:6" x14ac:dyDescent="0.45">
      <c r="A10">
        <v>1908</v>
      </c>
      <c r="B10">
        <v>0</v>
      </c>
      <c r="C10">
        <v>3</v>
      </c>
      <c r="D10">
        <v>0</v>
      </c>
      <c r="E10">
        <v>9.446216214657002E-6</v>
      </c>
      <c r="F10">
        <v>0</v>
      </c>
    </row>
    <row r="11" spans="1:6" x14ac:dyDescent="0.45">
      <c r="A11">
        <v>1909</v>
      </c>
      <c r="B11">
        <v>0</v>
      </c>
      <c r="C11">
        <v>3.2606302588502878</v>
      </c>
      <c r="D11">
        <v>0</v>
      </c>
      <c r="E11">
        <v>1.0266872807050951E-5</v>
      </c>
      <c r="F11">
        <v>0</v>
      </c>
    </row>
    <row r="12" spans="1:6" x14ac:dyDescent="0.45">
      <c r="A12">
        <v>1910</v>
      </c>
      <c r="B12">
        <v>0</v>
      </c>
      <c r="C12">
        <v>1</v>
      </c>
      <c r="D12">
        <v>0</v>
      </c>
      <c r="E12">
        <v>3.1487387382190009E-6</v>
      </c>
      <c r="F12">
        <v>0</v>
      </c>
    </row>
    <row r="13" spans="1:6" x14ac:dyDescent="0.45">
      <c r="A13">
        <v>1911</v>
      </c>
      <c r="B13">
        <v>0</v>
      </c>
      <c r="C13">
        <v>1</v>
      </c>
      <c r="D13">
        <v>0</v>
      </c>
      <c r="E13">
        <v>3.1487387382190009E-6</v>
      </c>
      <c r="F13">
        <v>0</v>
      </c>
    </row>
    <row r="14" spans="1:6" x14ac:dyDescent="0.45">
      <c r="A14">
        <v>1912</v>
      </c>
      <c r="B14">
        <v>0</v>
      </c>
      <c r="C14">
        <v>1</v>
      </c>
      <c r="D14">
        <v>0</v>
      </c>
      <c r="E14">
        <v>3.1487387382190009E-6</v>
      </c>
      <c r="F14">
        <v>0</v>
      </c>
    </row>
    <row r="15" spans="1:6" x14ac:dyDescent="0.45">
      <c r="A15">
        <v>1913</v>
      </c>
      <c r="B15">
        <v>0</v>
      </c>
      <c r="C15">
        <v>1</v>
      </c>
      <c r="D15">
        <v>0</v>
      </c>
      <c r="E15">
        <v>3.1487387382190009E-6</v>
      </c>
      <c r="F15">
        <v>0</v>
      </c>
    </row>
    <row r="16" spans="1:6" x14ac:dyDescent="0.45">
      <c r="A16">
        <v>1914</v>
      </c>
      <c r="B16">
        <v>1</v>
      </c>
      <c r="C16">
        <v>2.3835329011385329</v>
      </c>
      <c r="D16">
        <v>7.7821011673151756E-5</v>
      </c>
      <c r="E16">
        <v>7.5051223796344204E-6</v>
      </c>
      <c r="F16">
        <v>41.954528906327823</v>
      </c>
    </row>
    <row r="17" spans="1:6" x14ac:dyDescent="0.45">
      <c r="A17">
        <v>1915</v>
      </c>
      <c r="B17">
        <v>0</v>
      </c>
      <c r="C17">
        <v>3.8133610736252739</v>
      </c>
      <c r="D17">
        <v>0</v>
      </c>
      <c r="E17">
        <v>1.2007277735340299E-5</v>
      </c>
      <c r="F17">
        <v>0</v>
      </c>
    </row>
    <row r="18" spans="1:6" x14ac:dyDescent="0.45">
      <c r="A18">
        <v>1916</v>
      </c>
      <c r="B18">
        <v>0</v>
      </c>
      <c r="C18">
        <v>3</v>
      </c>
      <c r="D18">
        <v>0</v>
      </c>
      <c r="E18">
        <v>9.446216214657002E-6</v>
      </c>
      <c r="F18">
        <v>0</v>
      </c>
    </row>
    <row r="19" spans="1:6" x14ac:dyDescent="0.45">
      <c r="A19">
        <v>1918</v>
      </c>
      <c r="B19">
        <v>0</v>
      </c>
      <c r="C19">
        <v>1.9390721675264651</v>
      </c>
      <c r="D19">
        <v>0</v>
      </c>
      <c r="E19">
        <v>6.1056316500928643E-6</v>
      </c>
      <c r="F19">
        <v>0</v>
      </c>
    </row>
    <row r="20" spans="1:6" x14ac:dyDescent="0.45">
      <c r="A20">
        <v>1919</v>
      </c>
      <c r="B20">
        <v>0</v>
      </c>
      <c r="C20">
        <v>5.0609725402481853</v>
      </c>
      <c r="D20">
        <v>0</v>
      </c>
      <c r="E20">
        <v>1.5935680290542082E-5</v>
      </c>
      <c r="F20">
        <v>0</v>
      </c>
    </row>
    <row r="21" spans="1:6" x14ac:dyDescent="0.45">
      <c r="A21">
        <v>1920</v>
      </c>
      <c r="B21">
        <v>0</v>
      </c>
      <c r="C21">
        <v>4</v>
      </c>
      <c r="D21">
        <v>0</v>
      </c>
      <c r="E21">
        <v>1.2594954952876E-5</v>
      </c>
      <c r="F21">
        <v>0</v>
      </c>
    </row>
    <row r="22" spans="1:6" x14ac:dyDescent="0.45">
      <c r="A22">
        <v>1921</v>
      </c>
      <c r="B22">
        <v>0</v>
      </c>
      <c r="C22">
        <v>1.2945550849148999</v>
      </c>
      <c r="D22">
        <v>0</v>
      </c>
      <c r="E22">
        <v>4.0762157446299337E-6</v>
      </c>
      <c r="F22">
        <v>0</v>
      </c>
    </row>
    <row r="23" spans="1:6" x14ac:dyDescent="0.45">
      <c r="A23">
        <v>1922</v>
      </c>
      <c r="B23">
        <v>0</v>
      </c>
      <c r="C23">
        <v>2.709097993602045</v>
      </c>
      <c r="D23">
        <v>0</v>
      </c>
      <c r="E23">
        <v>8.5302417980861292E-6</v>
      </c>
      <c r="F23">
        <v>0</v>
      </c>
    </row>
    <row r="24" spans="1:6" x14ac:dyDescent="0.45">
      <c r="A24">
        <v>1923</v>
      </c>
      <c r="B24">
        <v>0</v>
      </c>
      <c r="C24">
        <v>0.99099264145828803</v>
      </c>
      <c r="D24">
        <v>0</v>
      </c>
      <c r="E24">
        <v>3.1203769194496852E-6</v>
      </c>
      <c r="F24">
        <v>0</v>
      </c>
    </row>
    <row r="25" spans="1:6" x14ac:dyDescent="0.45">
      <c r="A25">
        <v>1924</v>
      </c>
      <c r="B25">
        <v>0</v>
      </c>
      <c r="C25">
        <v>1</v>
      </c>
      <c r="D25">
        <v>0</v>
      </c>
      <c r="E25">
        <v>3.1487387382190009E-6</v>
      </c>
      <c r="F25">
        <v>0</v>
      </c>
    </row>
    <row r="26" spans="1:6" x14ac:dyDescent="0.45">
      <c r="A26">
        <v>1925</v>
      </c>
      <c r="B26">
        <v>0</v>
      </c>
      <c r="C26">
        <v>3</v>
      </c>
      <c r="D26">
        <v>0</v>
      </c>
      <c r="E26">
        <v>9.446216214657002E-6</v>
      </c>
      <c r="F26">
        <v>0</v>
      </c>
    </row>
    <row r="27" spans="1:6" x14ac:dyDescent="0.45">
      <c r="A27">
        <v>1926</v>
      </c>
      <c r="B27">
        <v>0</v>
      </c>
      <c r="C27">
        <v>2.6828410130483098</v>
      </c>
      <c r="D27">
        <v>0</v>
      </c>
      <c r="E27">
        <v>8.4475654262679207E-6</v>
      </c>
      <c r="F27">
        <v>0</v>
      </c>
    </row>
    <row r="28" spans="1:6" x14ac:dyDescent="0.45">
      <c r="A28">
        <v>1927</v>
      </c>
      <c r="B28">
        <v>0</v>
      </c>
      <c r="C28">
        <v>3</v>
      </c>
      <c r="D28">
        <v>0</v>
      </c>
      <c r="E28">
        <v>9.446216214657002E-6</v>
      </c>
      <c r="F28">
        <v>0</v>
      </c>
    </row>
    <row r="29" spans="1:6" x14ac:dyDescent="0.45">
      <c r="A29">
        <v>1928</v>
      </c>
      <c r="B29">
        <v>0</v>
      </c>
      <c r="C29">
        <v>1</v>
      </c>
      <c r="D29">
        <v>0</v>
      </c>
      <c r="E29">
        <v>3.1487387382190009E-6</v>
      </c>
      <c r="F29">
        <v>0</v>
      </c>
    </row>
    <row r="30" spans="1:6" x14ac:dyDescent="0.45">
      <c r="A30">
        <v>1929</v>
      </c>
      <c r="B30">
        <v>0</v>
      </c>
      <c r="C30">
        <v>1</v>
      </c>
      <c r="D30">
        <v>0</v>
      </c>
      <c r="E30">
        <v>3.1487387382190009E-6</v>
      </c>
      <c r="F30">
        <v>0</v>
      </c>
    </row>
    <row r="31" spans="1:6" x14ac:dyDescent="0.45">
      <c r="A31">
        <v>1930</v>
      </c>
      <c r="B31">
        <v>0</v>
      </c>
      <c r="C31">
        <v>3.8405557638686152</v>
      </c>
      <c r="D31">
        <v>0</v>
      </c>
      <c r="E31">
        <v>1.2092906709983369E-5</v>
      </c>
      <c r="F31">
        <v>0</v>
      </c>
    </row>
    <row r="32" spans="1:6" x14ac:dyDescent="0.45">
      <c r="A32">
        <v>1931</v>
      </c>
      <c r="B32">
        <v>0</v>
      </c>
      <c r="C32">
        <v>3</v>
      </c>
      <c r="D32">
        <v>0</v>
      </c>
      <c r="E32">
        <v>9.446216214657002E-6</v>
      </c>
      <c r="F32">
        <v>0</v>
      </c>
    </row>
    <row r="33" spans="1:6" x14ac:dyDescent="0.45">
      <c r="A33">
        <v>1932</v>
      </c>
      <c r="B33">
        <v>0</v>
      </c>
      <c r="C33">
        <v>2.9409114503511229</v>
      </c>
      <c r="D33">
        <v>0</v>
      </c>
      <c r="E33">
        <v>9.2601618093924072E-6</v>
      </c>
      <c r="F33">
        <v>0</v>
      </c>
    </row>
    <row r="34" spans="1:6" x14ac:dyDescent="0.45">
      <c r="A34">
        <v>1933</v>
      </c>
      <c r="B34">
        <v>0</v>
      </c>
      <c r="C34">
        <v>2</v>
      </c>
      <c r="D34">
        <v>0</v>
      </c>
      <c r="E34">
        <v>6.2974774764380019E-6</v>
      </c>
      <c r="F34">
        <v>0</v>
      </c>
    </row>
    <row r="35" spans="1:6" x14ac:dyDescent="0.45">
      <c r="A35">
        <v>1934</v>
      </c>
      <c r="B35">
        <v>0</v>
      </c>
      <c r="C35">
        <v>3.9774111875682139</v>
      </c>
      <c r="D35">
        <v>0</v>
      </c>
      <c r="E35">
        <v>1.2523828684121679E-5</v>
      </c>
      <c r="F35">
        <v>0</v>
      </c>
    </row>
    <row r="36" spans="1:6" x14ac:dyDescent="0.45">
      <c r="A36">
        <v>1935</v>
      </c>
      <c r="B36">
        <v>0</v>
      </c>
      <c r="C36">
        <v>3.1105147394072259</v>
      </c>
      <c r="D36">
        <v>0</v>
      </c>
      <c r="E36">
        <v>9.7941982557727129E-6</v>
      </c>
      <c r="F36">
        <v>0</v>
      </c>
    </row>
    <row r="37" spans="1:6" x14ac:dyDescent="0.45">
      <c r="A37">
        <v>1936</v>
      </c>
      <c r="B37">
        <v>0</v>
      </c>
      <c r="C37">
        <v>1</v>
      </c>
      <c r="D37">
        <v>0</v>
      </c>
      <c r="E37">
        <v>3.1487387382190009E-6</v>
      </c>
      <c r="F37">
        <v>0</v>
      </c>
    </row>
    <row r="38" spans="1:6" x14ac:dyDescent="0.45">
      <c r="A38">
        <v>1937</v>
      </c>
      <c r="B38">
        <v>0</v>
      </c>
      <c r="C38">
        <v>4</v>
      </c>
      <c r="D38">
        <v>0</v>
      </c>
      <c r="E38">
        <v>1.2594954952876E-5</v>
      </c>
      <c r="F38">
        <v>0</v>
      </c>
    </row>
    <row r="39" spans="1:6" x14ac:dyDescent="0.45">
      <c r="A39">
        <v>1938</v>
      </c>
      <c r="B39">
        <v>1</v>
      </c>
      <c r="C39">
        <v>4</v>
      </c>
      <c r="D39">
        <v>7.7821011673151756E-5</v>
      </c>
      <c r="E39">
        <v>1.2594954952876E-5</v>
      </c>
      <c r="F39">
        <v>25</v>
      </c>
    </row>
    <row r="40" spans="1:6" x14ac:dyDescent="0.45">
      <c r="A40">
        <v>1939</v>
      </c>
      <c r="B40">
        <v>0</v>
      </c>
      <c r="C40">
        <v>0.97158280048752199</v>
      </c>
      <c r="D40">
        <v>0</v>
      </c>
      <c r="E40">
        <v>3.059260401282363E-6</v>
      </c>
      <c r="F40">
        <v>0</v>
      </c>
    </row>
    <row r="41" spans="1:6" x14ac:dyDescent="0.45">
      <c r="A41">
        <v>1940</v>
      </c>
      <c r="B41">
        <v>0</v>
      </c>
      <c r="C41">
        <v>1</v>
      </c>
      <c r="D41">
        <v>0</v>
      </c>
      <c r="E41">
        <v>3.1487387382190009E-6</v>
      </c>
      <c r="F41">
        <v>0</v>
      </c>
    </row>
    <row r="42" spans="1:6" x14ac:dyDescent="0.45">
      <c r="A42">
        <v>1941</v>
      </c>
      <c r="B42">
        <v>0</v>
      </c>
      <c r="C42">
        <v>2</v>
      </c>
      <c r="D42">
        <v>0</v>
      </c>
      <c r="E42">
        <v>6.2974774764380019E-6</v>
      </c>
      <c r="F42">
        <v>0</v>
      </c>
    </row>
    <row r="43" spans="1:6" x14ac:dyDescent="0.45">
      <c r="A43">
        <v>1942</v>
      </c>
      <c r="B43">
        <v>0</v>
      </c>
      <c r="C43">
        <v>3.4392129051126541</v>
      </c>
      <c r="D43">
        <v>0</v>
      </c>
      <c r="E43">
        <v>1.0829182903310919E-5</v>
      </c>
      <c r="F43">
        <v>0</v>
      </c>
    </row>
    <row r="44" spans="1:6" x14ac:dyDescent="0.45">
      <c r="A44">
        <v>1943</v>
      </c>
      <c r="B44">
        <v>0</v>
      </c>
      <c r="C44">
        <v>1</v>
      </c>
      <c r="D44">
        <v>0</v>
      </c>
      <c r="E44">
        <v>3.1487387382190009E-6</v>
      </c>
      <c r="F44">
        <v>0</v>
      </c>
    </row>
    <row r="45" spans="1:6" x14ac:dyDescent="0.45">
      <c r="A45">
        <v>1944</v>
      </c>
      <c r="B45">
        <v>0</v>
      </c>
      <c r="C45">
        <v>3.4395595037983728</v>
      </c>
      <c r="D45">
        <v>0</v>
      </c>
      <c r="E45">
        <v>1.083027425201926E-5</v>
      </c>
      <c r="F45">
        <v>0</v>
      </c>
    </row>
    <row r="46" spans="1:6" x14ac:dyDescent="0.45">
      <c r="A46">
        <v>1945</v>
      </c>
      <c r="B46">
        <v>0</v>
      </c>
      <c r="C46">
        <v>2.1718428512359971</v>
      </c>
      <c r="D46">
        <v>0</v>
      </c>
      <c r="E46">
        <v>6.8385657190107902E-6</v>
      </c>
      <c r="F46">
        <v>0</v>
      </c>
    </row>
    <row r="47" spans="1:6" x14ac:dyDescent="0.45">
      <c r="A47">
        <v>1946</v>
      </c>
      <c r="B47">
        <v>0</v>
      </c>
      <c r="C47">
        <v>3</v>
      </c>
      <c r="D47">
        <v>0</v>
      </c>
      <c r="E47">
        <v>9.446216214657002E-6</v>
      </c>
      <c r="F47">
        <v>0</v>
      </c>
    </row>
    <row r="48" spans="1:6" x14ac:dyDescent="0.45">
      <c r="A48">
        <v>1947</v>
      </c>
      <c r="B48">
        <v>0</v>
      </c>
      <c r="C48">
        <v>2</v>
      </c>
      <c r="D48">
        <v>0</v>
      </c>
      <c r="E48">
        <v>6.2974774764380019E-6</v>
      </c>
      <c r="F48">
        <v>0</v>
      </c>
    </row>
    <row r="49" spans="1:6" x14ac:dyDescent="0.45">
      <c r="A49">
        <v>1948</v>
      </c>
      <c r="B49">
        <v>0</v>
      </c>
      <c r="C49">
        <v>4</v>
      </c>
      <c r="D49">
        <v>0</v>
      </c>
      <c r="E49">
        <v>1.2594954952876E-5</v>
      </c>
      <c r="F49">
        <v>0</v>
      </c>
    </row>
    <row r="50" spans="1:6" x14ac:dyDescent="0.45">
      <c r="A50">
        <v>1949</v>
      </c>
      <c r="B50">
        <v>0</v>
      </c>
      <c r="C50">
        <v>3.819156504126731</v>
      </c>
      <c r="D50">
        <v>0</v>
      </c>
      <c r="E50">
        <v>1.202552603186489E-5</v>
      </c>
      <c r="F50">
        <v>0</v>
      </c>
    </row>
    <row r="51" spans="1:6" x14ac:dyDescent="0.45">
      <c r="A51">
        <v>1950</v>
      </c>
      <c r="B51">
        <v>0</v>
      </c>
      <c r="C51">
        <v>2.2461475969455198</v>
      </c>
      <c r="D51">
        <v>0</v>
      </c>
      <c r="E51">
        <v>7.072531950259877E-6</v>
      </c>
      <c r="F51">
        <v>0</v>
      </c>
    </row>
    <row r="52" spans="1:6" x14ac:dyDescent="0.45">
      <c r="A52">
        <v>1951</v>
      </c>
      <c r="B52">
        <v>0</v>
      </c>
      <c r="C52">
        <v>2</v>
      </c>
      <c r="D52">
        <v>0</v>
      </c>
      <c r="E52">
        <v>6.2974774764380019E-6</v>
      </c>
      <c r="F52">
        <v>0</v>
      </c>
    </row>
    <row r="53" spans="1:6" x14ac:dyDescent="0.45">
      <c r="A53">
        <v>1952</v>
      </c>
      <c r="B53">
        <v>0</v>
      </c>
      <c r="C53">
        <v>1</v>
      </c>
      <c r="D53">
        <v>0</v>
      </c>
      <c r="E53">
        <v>3.1487387382190009E-6</v>
      </c>
      <c r="F53">
        <v>0</v>
      </c>
    </row>
    <row r="54" spans="1:6" x14ac:dyDescent="0.45">
      <c r="A54">
        <v>1953</v>
      </c>
      <c r="B54">
        <v>0</v>
      </c>
      <c r="C54">
        <v>1.5783527725003661</v>
      </c>
      <c r="D54">
        <v>0</v>
      </c>
      <c r="E54">
        <v>4.9698205173472641E-6</v>
      </c>
      <c r="F54">
        <v>0</v>
      </c>
    </row>
    <row r="55" spans="1:6" x14ac:dyDescent="0.45">
      <c r="A55">
        <v>1954</v>
      </c>
      <c r="B55">
        <v>0</v>
      </c>
      <c r="C55">
        <v>1.1923149562091571</v>
      </c>
      <c r="D55">
        <v>0</v>
      </c>
      <c r="E55">
        <v>3.7542882907736649E-6</v>
      </c>
      <c r="F55">
        <v>0</v>
      </c>
    </row>
    <row r="56" spans="1:6" x14ac:dyDescent="0.45">
      <c r="A56">
        <v>1955</v>
      </c>
      <c r="B56">
        <v>0</v>
      </c>
      <c r="C56">
        <v>2.5460476672812371</v>
      </c>
      <c r="D56">
        <v>0</v>
      </c>
      <c r="E56">
        <v>8.0168389193205531E-6</v>
      </c>
      <c r="F56">
        <v>0</v>
      </c>
    </row>
    <row r="57" spans="1:6" x14ac:dyDescent="0.45">
      <c r="A57">
        <v>1956</v>
      </c>
      <c r="B57">
        <v>0</v>
      </c>
      <c r="C57">
        <v>2</v>
      </c>
      <c r="D57">
        <v>0</v>
      </c>
      <c r="E57">
        <v>6.2974774764380019E-6</v>
      </c>
      <c r="F57">
        <v>0</v>
      </c>
    </row>
    <row r="58" spans="1:6" x14ac:dyDescent="0.45">
      <c r="A58">
        <v>1957</v>
      </c>
      <c r="B58">
        <v>0</v>
      </c>
      <c r="C58">
        <v>1.6648551458399741</v>
      </c>
      <c r="D58">
        <v>0</v>
      </c>
      <c r="E58">
        <v>5.2421938912295709E-6</v>
      </c>
      <c r="F58">
        <v>0</v>
      </c>
    </row>
    <row r="59" spans="1:6" x14ac:dyDescent="0.45">
      <c r="A59">
        <v>1958</v>
      </c>
      <c r="B59">
        <v>0</v>
      </c>
      <c r="C59">
        <v>0.86171602375106904</v>
      </c>
      <c r="D59">
        <v>0</v>
      </c>
      <c r="E59">
        <v>2.7133186253290359E-6</v>
      </c>
      <c r="F59">
        <v>0</v>
      </c>
    </row>
    <row r="60" spans="1:6" x14ac:dyDescent="0.45">
      <c r="A60">
        <v>1959</v>
      </c>
      <c r="B60">
        <v>1</v>
      </c>
      <c r="C60">
        <v>5.0553819305705838</v>
      </c>
      <c r="D60">
        <v>7.7821011673151756E-5</v>
      </c>
      <c r="E60">
        <v>1.5918076921279959E-5</v>
      </c>
      <c r="F60">
        <v>19.780899123622369</v>
      </c>
    </row>
    <row r="61" spans="1:6" x14ac:dyDescent="0.45">
      <c r="A61">
        <v>1960</v>
      </c>
      <c r="B61">
        <v>0</v>
      </c>
      <c r="C61">
        <v>3</v>
      </c>
      <c r="D61">
        <v>0</v>
      </c>
      <c r="E61">
        <v>9.446216214657002E-6</v>
      </c>
      <c r="F61">
        <v>0</v>
      </c>
    </row>
    <row r="62" spans="1:6" x14ac:dyDescent="0.45">
      <c r="A62">
        <v>1961</v>
      </c>
      <c r="B62">
        <v>0</v>
      </c>
      <c r="C62">
        <v>3</v>
      </c>
      <c r="D62">
        <v>0</v>
      </c>
      <c r="E62">
        <v>9.446216214657002E-6</v>
      </c>
      <c r="F62">
        <v>0</v>
      </c>
    </row>
    <row r="63" spans="1:6" x14ac:dyDescent="0.45">
      <c r="A63">
        <v>1962</v>
      </c>
      <c r="B63">
        <v>0</v>
      </c>
      <c r="C63">
        <v>1.783416408945341</v>
      </c>
      <c r="D63">
        <v>0</v>
      </c>
      <c r="E63">
        <v>5.6155123332216148E-6</v>
      </c>
      <c r="F63">
        <v>0</v>
      </c>
    </row>
    <row r="64" spans="1:6" x14ac:dyDescent="0.45">
      <c r="A64">
        <v>1963</v>
      </c>
      <c r="B64">
        <v>0</v>
      </c>
      <c r="C64">
        <v>4.5173619170836172</v>
      </c>
      <c r="D64">
        <v>0</v>
      </c>
      <c r="E64">
        <v>1.4223992462876441E-5</v>
      </c>
      <c r="F64">
        <v>0</v>
      </c>
    </row>
    <row r="65" spans="1:6" x14ac:dyDescent="0.45">
      <c r="A65">
        <v>1964</v>
      </c>
      <c r="B65">
        <v>0</v>
      </c>
      <c r="C65">
        <v>1</v>
      </c>
      <c r="D65">
        <v>0</v>
      </c>
      <c r="E65">
        <v>3.1487387382190009E-6</v>
      </c>
      <c r="F65">
        <v>0</v>
      </c>
    </row>
    <row r="66" spans="1:6" x14ac:dyDescent="0.45">
      <c r="A66">
        <v>1965</v>
      </c>
      <c r="B66">
        <v>0</v>
      </c>
      <c r="C66">
        <v>3</v>
      </c>
      <c r="D66">
        <v>0</v>
      </c>
      <c r="E66">
        <v>9.446216214657002E-6</v>
      </c>
      <c r="F66">
        <v>0</v>
      </c>
    </row>
    <row r="67" spans="1:6" x14ac:dyDescent="0.45">
      <c r="A67">
        <v>1966</v>
      </c>
      <c r="B67">
        <v>1</v>
      </c>
      <c r="C67">
        <v>1</v>
      </c>
      <c r="D67">
        <v>7.7821011673151756E-5</v>
      </c>
      <c r="E67">
        <v>3.1487387382190009E-6</v>
      </c>
      <c r="F67">
        <v>100</v>
      </c>
    </row>
    <row r="68" spans="1:6" x14ac:dyDescent="0.45">
      <c r="A68">
        <v>1967</v>
      </c>
      <c r="B68">
        <v>1</v>
      </c>
      <c r="C68">
        <v>2</v>
      </c>
      <c r="D68">
        <v>7.7821011673151756E-5</v>
      </c>
      <c r="E68">
        <v>6.2974774764380019E-6</v>
      </c>
      <c r="F68">
        <v>50</v>
      </c>
    </row>
    <row r="69" spans="1:6" x14ac:dyDescent="0.45">
      <c r="A69">
        <v>1968</v>
      </c>
      <c r="B69">
        <v>0</v>
      </c>
      <c r="C69">
        <v>3.1466765650757589</v>
      </c>
      <c r="D69">
        <v>0</v>
      </c>
      <c r="E69">
        <v>9.9080623970999456E-6</v>
      </c>
      <c r="F69">
        <v>0</v>
      </c>
    </row>
    <row r="70" spans="1:6" x14ac:dyDescent="0.45">
      <c r="A70">
        <v>1969</v>
      </c>
      <c r="B70">
        <v>0</v>
      </c>
      <c r="C70">
        <v>1</v>
      </c>
      <c r="D70">
        <v>0</v>
      </c>
      <c r="E70">
        <v>3.1487387382190009E-6</v>
      </c>
      <c r="F70">
        <v>0</v>
      </c>
    </row>
    <row r="71" spans="1:6" x14ac:dyDescent="0.45">
      <c r="A71">
        <v>1970</v>
      </c>
      <c r="B71">
        <v>0</v>
      </c>
      <c r="C71">
        <v>1.0255817297287291</v>
      </c>
      <c r="D71">
        <v>0</v>
      </c>
      <c r="E71">
        <v>3.229288921606499E-6</v>
      </c>
      <c r="F71">
        <v>0</v>
      </c>
    </row>
    <row r="72" spans="1:6" x14ac:dyDescent="0.45">
      <c r="A72">
        <v>1971</v>
      </c>
      <c r="B72">
        <v>0</v>
      </c>
      <c r="C72">
        <v>2.1311701055825689</v>
      </c>
      <c r="D72">
        <v>0</v>
      </c>
      <c r="E72">
        <v>6.7104978691821131E-6</v>
      </c>
      <c r="F72">
        <v>0</v>
      </c>
    </row>
    <row r="73" spans="1:6" x14ac:dyDescent="0.45">
      <c r="A73">
        <v>1972</v>
      </c>
      <c r="B73">
        <v>0</v>
      </c>
      <c r="C73">
        <v>1</v>
      </c>
      <c r="D73">
        <v>0</v>
      </c>
      <c r="E73">
        <v>3.1487387382190009E-6</v>
      </c>
      <c r="F73">
        <v>0</v>
      </c>
    </row>
    <row r="74" spans="1:6" x14ac:dyDescent="0.45">
      <c r="A74">
        <v>1973</v>
      </c>
      <c r="B74">
        <v>0</v>
      </c>
      <c r="C74">
        <v>2</v>
      </c>
      <c r="D74">
        <v>0</v>
      </c>
      <c r="E74">
        <v>6.2974774764380019E-6</v>
      </c>
      <c r="F74">
        <v>0</v>
      </c>
    </row>
    <row r="75" spans="1:6" x14ac:dyDescent="0.45">
      <c r="A75">
        <v>1974</v>
      </c>
      <c r="B75">
        <v>0</v>
      </c>
      <c r="C75">
        <v>4</v>
      </c>
      <c r="D75">
        <v>0</v>
      </c>
      <c r="E75">
        <v>1.2594954952876E-5</v>
      </c>
      <c r="F75">
        <v>0</v>
      </c>
    </row>
    <row r="76" spans="1:6" x14ac:dyDescent="0.45">
      <c r="A76">
        <v>1975</v>
      </c>
      <c r="B76">
        <v>0</v>
      </c>
      <c r="C76">
        <v>3.270485911872238</v>
      </c>
      <c r="D76">
        <v>0</v>
      </c>
      <c r="E76">
        <v>1.0297905683511609E-5</v>
      </c>
      <c r="F76">
        <v>0</v>
      </c>
    </row>
    <row r="77" spans="1:6" x14ac:dyDescent="0.45">
      <c r="A77">
        <v>1976</v>
      </c>
      <c r="B77">
        <v>0</v>
      </c>
      <c r="C77">
        <v>3</v>
      </c>
      <c r="D77">
        <v>0</v>
      </c>
      <c r="E77">
        <v>9.446216214657002E-6</v>
      </c>
      <c r="F77">
        <v>0</v>
      </c>
    </row>
    <row r="78" spans="1:6" x14ac:dyDescent="0.45">
      <c r="A78">
        <v>1977</v>
      </c>
      <c r="B78">
        <v>0</v>
      </c>
      <c r="C78">
        <v>4.8254762118216599</v>
      </c>
      <c r="D78">
        <v>0</v>
      </c>
      <c r="E78">
        <v>1.519416387851714E-5</v>
      </c>
      <c r="F78">
        <v>0</v>
      </c>
    </row>
    <row r="79" spans="1:6" x14ac:dyDescent="0.45">
      <c r="A79">
        <v>1978</v>
      </c>
      <c r="B79">
        <v>0</v>
      </c>
      <c r="C79">
        <v>2.795999337604735</v>
      </c>
      <c r="D79">
        <v>0</v>
      </c>
      <c r="E79">
        <v>8.8038714263506962E-6</v>
      </c>
      <c r="F79">
        <v>0</v>
      </c>
    </row>
    <row r="80" spans="1:6" x14ac:dyDescent="0.45">
      <c r="A80">
        <v>1979</v>
      </c>
      <c r="B80">
        <v>0</v>
      </c>
      <c r="C80">
        <v>2</v>
      </c>
      <c r="D80">
        <v>0</v>
      </c>
      <c r="E80">
        <v>6.2974774764380019E-6</v>
      </c>
      <c r="F80">
        <v>0</v>
      </c>
    </row>
    <row r="81" spans="1:6" x14ac:dyDescent="0.45">
      <c r="A81">
        <v>1980</v>
      </c>
      <c r="B81">
        <v>0</v>
      </c>
      <c r="C81">
        <v>2.2502784350281582</v>
      </c>
      <c r="D81">
        <v>0</v>
      </c>
      <c r="E81">
        <v>7.0855388801519914E-6</v>
      </c>
      <c r="F81">
        <v>0</v>
      </c>
    </row>
    <row r="82" spans="1:6" x14ac:dyDescent="0.45">
      <c r="A82">
        <v>1981</v>
      </c>
      <c r="B82">
        <v>0</v>
      </c>
      <c r="C82">
        <v>1.3783900346932929</v>
      </c>
      <c r="D82">
        <v>0</v>
      </c>
      <c r="E82">
        <v>4.3401900986138048E-6</v>
      </c>
      <c r="F82">
        <v>0</v>
      </c>
    </row>
    <row r="83" spans="1:6" x14ac:dyDescent="0.45">
      <c r="A83">
        <v>1982</v>
      </c>
      <c r="B83">
        <v>0</v>
      </c>
      <c r="C83">
        <v>5.777888700056355</v>
      </c>
      <c r="D83">
        <v>0</v>
      </c>
      <c r="E83">
        <v>1.819306197498527E-5</v>
      </c>
      <c r="F83">
        <v>0</v>
      </c>
    </row>
    <row r="84" spans="1:6" x14ac:dyDescent="0.45">
      <c r="A84">
        <v>1983</v>
      </c>
      <c r="B84">
        <v>0</v>
      </c>
      <c r="C84">
        <v>2.9081818164698778</v>
      </c>
      <c r="D84">
        <v>0</v>
      </c>
      <c r="E84">
        <v>9.1571047433028057E-6</v>
      </c>
      <c r="F84">
        <v>0</v>
      </c>
    </row>
    <row r="85" spans="1:6" x14ac:dyDescent="0.45">
      <c r="A85">
        <v>1984</v>
      </c>
      <c r="B85">
        <v>0</v>
      </c>
      <c r="C85">
        <v>3</v>
      </c>
      <c r="D85">
        <v>0</v>
      </c>
      <c r="E85">
        <v>9.446216214657002E-6</v>
      </c>
      <c r="F85">
        <v>0</v>
      </c>
    </row>
    <row r="86" spans="1:6" x14ac:dyDescent="0.45">
      <c r="A86">
        <v>1985</v>
      </c>
      <c r="B86">
        <v>0</v>
      </c>
      <c r="C86">
        <v>1.8614014049968679</v>
      </c>
      <c r="D86">
        <v>0</v>
      </c>
      <c r="E86">
        <v>5.8610667112889133E-6</v>
      </c>
      <c r="F86">
        <v>0</v>
      </c>
    </row>
    <row r="87" spans="1:6" x14ac:dyDescent="0.45">
      <c r="A87">
        <v>1986</v>
      </c>
      <c r="B87">
        <v>0</v>
      </c>
      <c r="C87">
        <v>3</v>
      </c>
      <c r="D87">
        <v>0</v>
      </c>
      <c r="E87">
        <v>9.446216214657002E-6</v>
      </c>
      <c r="F87">
        <v>0</v>
      </c>
    </row>
    <row r="88" spans="1:6" x14ac:dyDescent="0.45">
      <c r="A88">
        <v>1987</v>
      </c>
      <c r="B88">
        <v>0</v>
      </c>
      <c r="C88">
        <v>2.4777158254338429</v>
      </c>
      <c r="D88">
        <v>0</v>
      </c>
      <c r="E88">
        <v>7.8016798018418094E-6</v>
      </c>
      <c r="F88">
        <v>0</v>
      </c>
    </row>
    <row r="89" spans="1:6" x14ac:dyDescent="0.45">
      <c r="A89">
        <v>1988</v>
      </c>
      <c r="B89">
        <v>0</v>
      </c>
      <c r="C89">
        <v>2</v>
      </c>
      <c r="D89">
        <v>0</v>
      </c>
      <c r="E89">
        <v>6.2974774764380019E-6</v>
      </c>
      <c r="F89">
        <v>0</v>
      </c>
    </row>
    <row r="90" spans="1:6" x14ac:dyDescent="0.45">
      <c r="A90">
        <v>1989</v>
      </c>
      <c r="B90">
        <v>0</v>
      </c>
      <c r="C90">
        <v>4.8039765172498301</v>
      </c>
      <c r="D90">
        <v>0</v>
      </c>
      <c r="E90">
        <v>1.512646695735894E-5</v>
      </c>
      <c r="F90">
        <v>0</v>
      </c>
    </row>
    <row r="91" spans="1:6" x14ac:dyDescent="0.45">
      <c r="A91">
        <v>1990</v>
      </c>
      <c r="B91">
        <v>0</v>
      </c>
      <c r="C91">
        <v>2.2527287785802028</v>
      </c>
      <c r="D91">
        <v>0</v>
      </c>
      <c r="E91">
        <v>7.0932543718162603E-6</v>
      </c>
      <c r="F91">
        <v>0</v>
      </c>
    </row>
    <row r="92" spans="1:6" x14ac:dyDescent="0.45">
      <c r="A92">
        <v>1991</v>
      </c>
      <c r="B92">
        <v>0</v>
      </c>
      <c r="C92">
        <v>1</v>
      </c>
      <c r="D92">
        <v>0</v>
      </c>
      <c r="E92">
        <v>3.1487387382190009E-6</v>
      </c>
      <c r="F92">
        <v>0</v>
      </c>
    </row>
    <row r="93" spans="1:6" x14ac:dyDescent="0.45">
      <c r="A93">
        <v>1992</v>
      </c>
      <c r="B93">
        <v>0</v>
      </c>
      <c r="C93">
        <v>1</v>
      </c>
      <c r="D93">
        <v>0</v>
      </c>
      <c r="E93">
        <v>3.1487387382190009E-6</v>
      </c>
      <c r="F93">
        <v>0</v>
      </c>
    </row>
    <row r="94" spans="1:6" x14ac:dyDescent="0.45">
      <c r="A94">
        <v>1993</v>
      </c>
      <c r="B94">
        <v>0</v>
      </c>
      <c r="C94">
        <v>1.94183014041977</v>
      </c>
      <c r="D94">
        <v>0</v>
      </c>
      <c r="E94">
        <v>6.1143157861809706E-6</v>
      </c>
      <c r="F94">
        <v>0</v>
      </c>
    </row>
    <row r="95" spans="1:6" x14ac:dyDescent="0.45">
      <c r="A95">
        <v>1994</v>
      </c>
      <c r="B95">
        <v>0</v>
      </c>
      <c r="C95">
        <v>1</v>
      </c>
      <c r="D95">
        <v>0</v>
      </c>
      <c r="E95">
        <v>3.1487387382190009E-6</v>
      </c>
      <c r="F95">
        <v>0</v>
      </c>
    </row>
    <row r="96" spans="1:6" x14ac:dyDescent="0.45">
      <c r="A96">
        <v>1995</v>
      </c>
      <c r="B96">
        <v>1</v>
      </c>
      <c r="C96">
        <v>4.5195584661373873</v>
      </c>
      <c r="D96">
        <v>7.7821011673151756E-5</v>
      </c>
      <c r="E96">
        <v>1.4230908821972441E-5</v>
      </c>
      <c r="F96">
        <v>22.12605517756791</v>
      </c>
    </row>
    <row r="97" spans="1:6" x14ac:dyDescent="0.45">
      <c r="A97">
        <v>1996</v>
      </c>
      <c r="B97">
        <v>0</v>
      </c>
      <c r="C97">
        <v>1.304649780185428</v>
      </c>
      <c r="D97">
        <v>0</v>
      </c>
      <c r="E97">
        <v>4.1080013026787624E-6</v>
      </c>
      <c r="F97">
        <v>0</v>
      </c>
    </row>
    <row r="98" spans="1:6" x14ac:dyDescent="0.45">
      <c r="A98">
        <v>1998</v>
      </c>
      <c r="B98">
        <v>0</v>
      </c>
      <c r="C98">
        <v>3</v>
      </c>
      <c r="D98">
        <v>0</v>
      </c>
      <c r="E98">
        <v>9.446216214657002E-6</v>
      </c>
      <c r="F98">
        <v>0</v>
      </c>
    </row>
    <row r="99" spans="1:6" x14ac:dyDescent="0.45">
      <c r="A99">
        <v>1999</v>
      </c>
      <c r="B99">
        <v>0</v>
      </c>
      <c r="C99">
        <v>1.5954619073984211</v>
      </c>
      <c r="D99">
        <v>0</v>
      </c>
      <c r="E99">
        <v>5.0236927131781852E-6</v>
      </c>
      <c r="F99">
        <v>0</v>
      </c>
    </row>
    <row r="100" spans="1:6" x14ac:dyDescent="0.45">
      <c r="A100">
        <v>2000</v>
      </c>
      <c r="B100">
        <v>0</v>
      </c>
      <c r="C100">
        <v>2</v>
      </c>
      <c r="D100">
        <v>0</v>
      </c>
      <c r="E100">
        <v>6.2974774764380019E-6</v>
      </c>
      <c r="F100">
        <v>0</v>
      </c>
    </row>
    <row r="101" spans="1:6" x14ac:dyDescent="0.45">
      <c r="A101">
        <v>2001</v>
      </c>
      <c r="B101">
        <v>0</v>
      </c>
      <c r="C101">
        <v>2.3103802061150782</v>
      </c>
      <c r="D101">
        <v>0</v>
      </c>
      <c r="E101">
        <v>7.2747836550089463E-6</v>
      </c>
      <c r="F101">
        <v>0</v>
      </c>
    </row>
    <row r="102" spans="1:6" x14ac:dyDescent="0.45">
      <c r="A102">
        <v>2002</v>
      </c>
      <c r="B102">
        <v>0</v>
      </c>
      <c r="C102">
        <v>2.849221253630239</v>
      </c>
      <c r="D102">
        <v>0</v>
      </c>
      <c r="E102">
        <v>8.9714533350624393E-6</v>
      </c>
      <c r="F102">
        <v>0</v>
      </c>
    </row>
    <row r="103" spans="1:6" x14ac:dyDescent="0.45">
      <c r="A103">
        <v>2003</v>
      </c>
      <c r="B103">
        <v>0</v>
      </c>
      <c r="C103">
        <v>1</v>
      </c>
      <c r="D103">
        <v>0</v>
      </c>
      <c r="E103">
        <v>3.1487387382190009E-6</v>
      </c>
      <c r="F103">
        <v>0</v>
      </c>
    </row>
    <row r="104" spans="1:6" x14ac:dyDescent="0.45">
      <c r="A104">
        <v>2004</v>
      </c>
      <c r="B104">
        <v>221</v>
      </c>
      <c r="C104">
        <v>4309.06146098719</v>
      </c>
      <c r="D104">
        <v>1.7198443579766541E-2</v>
      </c>
      <c r="E104">
        <v>1.356810874757693E-2</v>
      </c>
      <c r="F104">
        <v>5.1287270325768279</v>
      </c>
    </row>
    <row r="105" spans="1:6" x14ac:dyDescent="0.45">
      <c r="A105">
        <v>2005</v>
      </c>
      <c r="B105">
        <v>391</v>
      </c>
      <c r="C105">
        <v>8487.1444979244498</v>
      </c>
      <c r="D105">
        <v>3.042801556420233E-2</v>
      </c>
      <c r="E105">
        <v>2.6723800657476971E-2</v>
      </c>
      <c r="F105">
        <v>4.6069676331729701</v>
      </c>
    </row>
    <row r="106" spans="1:6" x14ac:dyDescent="0.45">
      <c r="A106">
        <v>2006</v>
      </c>
      <c r="B106">
        <v>576</v>
      </c>
      <c r="C106">
        <v>13003.308647762689</v>
      </c>
      <c r="D106">
        <v>4.4824902723735412E-2</v>
      </c>
      <c r="E106">
        <v>4.0944021664228503E-2</v>
      </c>
      <c r="F106">
        <v>4.4296418365729178</v>
      </c>
    </row>
    <row r="107" spans="1:6" x14ac:dyDescent="0.45">
      <c r="A107">
        <v>2007</v>
      </c>
      <c r="B107">
        <v>752</v>
      </c>
      <c r="C107">
        <v>16944.967898835661</v>
      </c>
      <c r="D107">
        <v>5.8521400778210123E-2</v>
      </c>
      <c r="E107">
        <v>5.3355276840941261E-2</v>
      </c>
      <c r="F107">
        <v>4.4378956896794852</v>
      </c>
    </row>
    <row r="108" spans="1:6" x14ac:dyDescent="0.45">
      <c r="A108">
        <v>2008</v>
      </c>
      <c r="B108">
        <v>939</v>
      </c>
      <c r="C108">
        <v>21522.196266667888</v>
      </c>
      <c r="D108">
        <v>7.3073929961089495E-2</v>
      </c>
      <c r="E108">
        <v>6.7767773116409552E-2</v>
      </c>
      <c r="F108">
        <v>4.3629376312967612</v>
      </c>
    </row>
    <row r="109" spans="1:6" x14ac:dyDescent="0.45">
      <c r="A109">
        <v>2009</v>
      </c>
      <c r="B109">
        <v>951</v>
      </c>
      <c r="C109">
        <v>21599.934897806099</v>
      </c>
      <c r="D109">
        <v>7.4007782101167319E-2</v>
      </c>
      <c r="E109">
        <v>6.8012551755730538E-2</v>
      </c>
      <c r="F109">
        <v>4.4027910477479857</v>
      </c>
    </row>
    <row r="110" spans="1:6" x14ac:dyDescent="0.45">
      <c r="A110">
        <v>2010</v>
      </c>
      <c r="B110">
        <v>867</v>
      </c>
      <c r="C110">
        <v>21317.529871463561</v>
      </c>
      <c r="D110">
        <v>6.747081712062257E-2</v>
      </c>
      <c r="E110">
        <v>6.7123332109418038E-2</v>
      </c>
      <c r="F110">
        <v>4.0670753376571964</v>
      </c>
    </row>
    <row r="111" spans="1:6" x14ac:dyDescent="0.45">
      <c r="A111">
        <v>2011</v>
      </c>
      <c r="B111">
        <v>870</v>
      </c>
      <c r="C111">
        <v>21598.82123307043</v>
      </c>
      <c r="D111">
        <v>6.7704280155642019E-2</v>
      </c>
      <c r="E111">
        <v>6.8009045116435962E-2</v>
      </c>
      <c r="F111">
        <v>4.0279975958499241</v>
      </c>
    </row>
    <row r="112" spans="1:6" x14ac:dyDescent="0.45">
      <c r="A112">
        <v>2012</v>
      </c>
      <c r="B112">
        <v>874</v>
      </c>
      <c r="C112">
        <v>21371.575301259931</v>
      </c>
      <c r="D112">
        <v>6.8015564202334636E-2</v>
      </c>
      <c r="E112">
        <v>6.7293507047841566E-2</v>
      </c>
      <c r="F112">
        <v>4.0895441149276177</v>
      </c>
    </row>
    <row r="113" spans="1:6" x14ac:dyDescent="0.45">
      <c r="A113">
        <v>2013</v>
      </c>
      <c r="B113">
        <v>797</v>
      </c>
      <c r="C113">
        <v>21432.324799453101</v>
      </c>
      <c r="D113">
        <v>6.2023346303501953E-2</v>
      </c>
      <c r="E113">
        <v>6.7484791346129752E-2</v>
      </c>
      <c r="F113">
        <v>3.718681979009284</v>
      </c>
    </row>
    <row r="114" spans="1:6" x14ac:dyDescent="0.45">
      <c r="A114">
        <v>2014</v>
      </c>
      <c r="B114">
        <v>821</v>
      </c>
      <c r="C114">
        <v>21646.656001012361</v>
      </c>
      <c r="D114">
        <v>6.3891050583657585E-2</v>
      </c>
      <c r="E114">
        <v>6.8159664303288431E-2</v>
      </c>
      <c r="F114">
        <v>3.7927336211265321</v>
      </c>
    </row>
    <row r="115" spans="1:6" x14ac:dyDescent="0.45">
      <c r="A115">
        <v>2015</v>
      </c>
      <c r="B115">
        <v>828</v>
      </c>
      <c r="C115">
        <v>21520.652874945561</v>
      </c>
      <c r="D115">
        <v>6.4435797665369651E-2</v>
      </c>
      <c r="E115">
        <v>6.7762913379105186E-2</v>
      </c>
      <c r="F115">
        <v>3.847466918459344</v>
      </c>
    </row>
    <row r="116" spans="1:6" x14ac:dyDescent="0.45">
      <c r="A116">
        <v>2016</v>
      </c>
      <c r="B116">
        <v>833</v>
      </c>
      <c r="C116">
        <v>21402.162946751749</v>
      </c>
      <c r="D116">
        <v>6.4824902723735409E-2</v>
      </c>
      <c r="E116">
        <v>6.7389819552112568E-2</v>
      </c>
      <c r="F116">
        <v>3.8921299780423642</v>
      </c>
    </row>
    <row r="117" spans="1:6" x14ac:dyDescent="0.45">
      <c r="A117">
        <v>2017</v>
      </c>
      <c r="B117">
        <v>811</v>
      </c>
      <c r="C117">
        <v>21693.726450569979</v>
      </c>
      <c r="D117">
        <v>6.3112840466926071E-2</v>
      </c>
      <c r="E117">
        <v>6.8307876851235877E-2</v>
      </c>
      <c r="F117">
        <v>3.738407976370016</v>
      </c>
    </row>
    <row r="118" spans="1:6" x14ac:dyDescent="0.45">
      <c r="A118">
        <v>2018</v>
      </c>
      <c r="B118">
        <v>823</v>
      </c>
      <c r="C118">
        <v>21654.91970821064</v>
      </c>
      <c r="D118">
        <v>6.4046692607003894E-2</v>
      </c>
      <c r="E118">
        <v>6.8185684558264945E-2</v>
      </c>
      <c r="F118">
        <v>3.8005220572946889</v>
      </c>
    </row>
    <row r="119" spans="1:6" x14ac:dyDescent="0.45">
      <c r="A119">
        <v>2019</v>
      </c>
      <c r="B119">
        <v>519</v>
      </c>
      <c r="C119">
        <v>14988.65159638871</v>
      </c>
      <c r="D119">
        <v>4.0389105058365758E-2</v>
      </c>
      <c r="E119">
        <v>4.7195347915217199E-2</v>
      </c>
      <c r="F119">
        <v>3.462619680379023</v>
      </c>
    </row>
    <row r="120" spans="1:6" x14ac:dyDescent="0.45">
      <c r="A120">
        <v>2020</v>
      </c>
      <c r="B120">
        <v>470</v>
      </c>
      <c r="C120">
        <v>11490.31248221856</v>
      </c>
      <c r="D120">
        <v>3.6575875486381318E-2</v>
      </c>
      <c r="E120">
        <v>3.6179992027002908E-2</v>
      </c>
      <c r="F120">
        <v>4.0904022473482096</v>
      </c>
    </row>
    <row r="121" spans="1:6" x14ac:dyDescent="0.45">
      <c r="A121">
        <v>2021</v>
      </c>
      <c r="B121">
        <v>314</v>
      </c>
      <c r="C121">
        <v>7577.9717916045247</v>
      </c>
      <c r="D121">
        <v>2.443579766536965E-2</v>
      </c>
      <c r="E121">
        <v>2.3861053337356011E-2</v>
      </c>
      <c r="F121">
        <v>4.143588926365152</v>
      </c>
    </row>
    <row r="122" spans="1:6" x14ac:dyDescent="0.45">
      <c r="A122">
        <v>2022</v>
      </c>
      <c r="B122">
        <v>186</v>
      </c>
      <c r="C122">
        <v>3777.795590931988</v>
      </c>
      <c r="D122">
        <v>1.4474708171206231E-2</v>
      </c>
      <c r="E122">
        <v>1.189529132224049E-2</v>
      </c>
      <c r="F122">
        <v>4.9235061962183488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75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12686</v>
      </c>
      <c r="C2">
        <v>314384.09700734721</v>
      </c>
      <c r="D2">
        <v>0.98723735408560309</v>
      </c>
      <c r="E2">
        <v>0.98991338492703462</v>
      </c>
      <c r="F2">
        <v>4.0351913855564794</v>
      </c>
    </row>
    <row r="3" spans="1:6" x14ac:dyDescent="0.45">
      <c r="A3" t="s">
        <v>23</v>
      </c>
      <c r="B3">
        <v>164</v>
      </c>
      <c r="C3">
        <v>3203.3826593915928</v>
      </c>
      <c r="D3">
        <v>1.2762645914396889E-2</v>
      </c>
      <c r="E3">
        <v>1.0086615072965309E-2</v>
      </c>
      <c r="F3">
        <v>5.119588180300255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76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6937</v>
      </c>
      <c r="C2">
        <v>127650.0954497129</v>
      </c>
      <c r="D2">
        <v>0.53984435797665364</v>
      </c>
      <c r="E2">
        <v>0.40193680047986402</v>
      </c>
      <c r="F2">
        <v>5.434386849113479</v>
      </c>
    </row>
    <row r="3" spans="1:6" x14ac:dyDescent="0.45">
      <c r="A3" t="s">
        <v>23</v>
      </c>
      <c r="B3">
        <v>5913</v>
      </c>
      <c r="C3">
        <v>189937.38421702589</v>
      </c>
      <c r="D3">
        <v>0.4601556420233463</v>
      </c>
      <c r="E3">
        <v>0.59806319952013598</v>
      </c>
      <c r="F3">
        <v>3.1131312165717189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77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11433</v>
      </c>
      <c r="C2">
        <v>285473.44696713559</v>
      </c>
      <c r="D2">
        <v>0.88972762645914394</v>
      </c>
      <c r="E2">
        <v>0.89888130119832776</v>
      </c>
      <c r="F2">
        <v>4.0049258946721569</v>
      </c>
    </row>
    <row r="3" spans="1:6" x14ac:dyDescent="0.45">
      <c r="A3" t="s">
        <v>23</v>
      </c>
      <c r="B3">
        <v>1417</v>
      </c>
      <c r="C3">
        <v>32114.032699603209</v>
      </c>
      <c r="D3">
        <v>0.11027237354085601</v>
      </c>
      <c r="E3">
        <v>0.1011186988016724</v>
      </c>
      <c r="F3">
        <v>4.4124013114600462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78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6357</v>
      </c>
      <c r="C2">
        <v>142768.86448011399</v>
      </c>
      <c r="D2">
        <v>0.49470817120622568</v>
      </c>
      <c r="E2">
        <v>0.44954185420007359</v>
      </c>
      <c r="F2">
        <v>4.4526515099414103</v>
      </c>
    </row>
    <row r="3" spans="1:6" x14ac:dyDescent="0.45">
      <c r="A3" t="s">
        <v>23</v>
      </c>
      <c r="B3">
        <v>6493</v>
      </c>
      <c r="C3">
        <v>174818.6151866249</v>
      </c>
      <c r="D3">
        <v>0.50529182879377432</v>
      </c>
      <c r="E3">
        <v>0.55045814579992636</v>
      </c>
      <c r="F3">
        <v>3.714135358564933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79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5175</v>
      </c>
      <c r="C2">
        <v>111253.94697646469</v>
      </c>
      <c r="D2">
        <v>0.40272373540856032</v>
      </c>
      <c r="E2">
        <v>0.35030961262455712</v>
      </c>
      <c r="F2">
        <v>4.651520364571649</v>
      </c>
    </row>
    <row r="3" spans="1:6" x14ac:dyDescent="0.45">
      <c r="A3" t="s">
        <v>23</v>
      </c>
      <c r="B3">
        <v>7675</v>
      </c>
      <c r="C3">
        <v>206333.53269027409</v>
      </c>
      <c r="D3">
        <v>0.59727626459143968</v>
      </c>
      <c r="E3">
        <v>0.64969038737544282</v>
      </c>
      <c r="F3">
        <v>3.7197056144630118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80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12550</v>
      </c>
      <c r="C2">
        <v>311144.18793414102</v>
      </c>
      <c r="D2">
        <v>0.97665369649805445</v>
      </c>
      <c r="E2">
        <v>0.97971175771992292</v>
      </c>
      <c r="F2">
        <v>4.0334997363525957</v>
      </c>
    </row>
    <row r="3" spans="1:6" x14ac:dyDescent="0.45">
      <c r="A3" t="s">
        <v>23</v>
      </c>
      <c r="B3">
        <v>300</v>
      </c>
      <c r="C3">
        <v>6443.2917325978724</v>
      </c>
      <c r="D3">
        <v>2.3346303501945529E-2</v>
      </c>
      <c r="E3">
        <v>2.028824228007715E-2</v>
      </c>
      <c r="F3">
        <v>4.6560052291632452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81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12154</v>
      </c>
      <c r="C2">
        <v>301673.56243287661</v>
      </c>
      <c r="D2">
        <v>0.94583657587548642</v>
      </c>
      <c r="E2">
        <v>0.94989123232892703</v>
      </c>
      <c r="F2">
        <v>4.0288581810029536</v>
      </c>
    </row>
    <row r="3" spans="1:6" x14ac:dyDescent="0.45">
      <c r="A3" t="s">
        <v>23</v>
      </c>
      <c r="B3">
        <v>696</v>
      </c>
      <c r="C3">
        <v>15913.917233862239</v>
      </c>
      <c r="D3">
        <v>5.4163424124513623E-2</v>
      </c>
      <c r="E3">
        <v>5.0108767671073029E-2</v>
      </c>
      <c r="F3">
        <v>4.3735303493914408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82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83</v>
      </c>
      <c r="B2">
        <v>8983</v>
      </c>
      <c r="C2">
        <v>222330.381003741</v>
      </c>
      <c r="D2">
        <v>0.69906614785992216</v>
      </c>
      <c r="E2">
        <v>0.70006028334946924</v>
      </c>
      <c r="F2">
        <v>4.0403834867034432</v>
      </c>
    </row>
    <row r="3" spans="1:6" x14ac:dyDescent="0.45">
      <c r="A3" t="s">
        <v>84</v>
      </c>
      <c r="B3">
        <v>3867</v>
      </c>
      <c r="C3">
        <v>95257.098662997814</v>
      </c>
      <c r="D3">
        <v>0.30093385214007778</v>
      </c>
      <c r="E3">
        <v>0.29993971665053071</v>
      </c>
      <c r="F3">
        <v>4.0595399757877768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5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85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>
        <v>250</v>
      </c>
      <c r="B2">
        <v>2582</v>
      </c>
      <c r="C2">
        <v>47829.552318190646</v>
      </c>
      <c r="D2">
        <v>0.20093385214007781</v>
      </c>
      <c r="E2">
        <v>0.15060276421595939</v>
      </c>
      <c r="F2">
        <v>5.3983361224520747</v>
      </c>
    </row>
    <row r="3" spans="1:6" x14ac:dyDescent="0.45">
      <c r="A3">
        <v>500</v>
      </c>
      <c r="B3">
        <v>5366</v>
      </c>
      <c r="C3">
        <v>126720.52283496079</v>
      </c>
      <c r="D3">
        <v>0.4175875486381323</v>
      </c>
      <c r="E3">
        <v>0.3990098191778067</v>
      </c>
      <c r="F3">
        <v>4.2345153570654146</v>
      </c>
    </row>
    <row r="4" spans="1:6" x14ac:dyDescent="0.45">
      <c r="A4">
        <v>1000</v>
      </c>
      <c r="B4">
        <v>3187</v>
      </c>
      <c r="C4">
        <v>79780.219189417985</v>
      </c>
      <c r="D4">
        <v>0.24801556420233459</v>
      </c>
      <c r="E4">
        <v>0.25120706670532339</v>
      </c>
      <c r="F4">
        <v>3.9947245474887372</v>
      </c>
    </row>
    <row r="5" spans="1:6" x14ac:dyDescent="0.45">
      <c r="A5">
        <v>2000</v>
      </c>
      <c r="B5">
        <v>1715</v>
      </c>
      <c r="C5">
        <v>63257.185324169383</v>
      </c>
      <c r="D5">
        <v>0.13346303501945531</v>
      </c>
      <c r="E5">
        <v>0.19918034990091071</v>
      </c>
      <c r="F5">
        <v>2.7111544581240339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3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86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t="s">
        <v>22</v>
      </c>
      <c r="B2">
        <v>9632</v>
      </c>
      <c r="C2">
        <v>238702.07960588441</v>
      </c>
      <c r="D2">
        <v>0.74957198443579764</v>
      </c>
      <c r="E2">
        <v>0.75161048494848404</v>
      </c>
      <c r="F2">
        <v>4.035155460691076</v>
      </c>
    </row>
    <row r="3" spans="1:6" x14ac:dyDescent="0.45">
      <c r="A3" t="s">
        <v>23</v>
      </c>
      <c r="B3">
        <v>3218</v>
      </c>
      <c r="C3">
        <v>78885.400060854445</v>
      </c>
      <c r="D3">
        <v>0.25042801556420241</v>
      </c>
      <c r="E3">
        <v>0.24838951505151599</v>
      </c>
      <c r="F3">
        <v>4.0793353364723286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30</vt:i4>
      </vt:variant>
    </vt:vector>
  </HeadingPairs>
  <TitlesOfParts>
    <vt:vector size="30" baseType="lpstr">
      <vt:lpstr>client_start_year</vt:lpstr>
      <vt:lpstr>oldest_insured_year_birth</vt:lpstr>
      <vt:lpstr>insured_employment</vt:lpstr>
      <vt:lpstr>marital_status</vt:lpstr>
      <vt:lpstr>num_children</vt:lpstr>
      <vt:lpstr>smoker</vt:lpstr>
      <vt:lpstr>policy_issue_year</vt:lpstr>
      <vt:lpstr>liability_limit</vt:lpstr>
      <vt:lpstr>region</vt:lpstr>
      <vt:lpstr>construction_year</vt:lpstr>
      <vt:lpstr>house_type</vt:lpstr>
      <vt:lpstr>floors_above_ground</vt:lpstr>
      <vt:lpstr>exterior_cladding</vt:lpstr>
      <vt:lpstr>heating_type</vt:lpstr>
      <vt:lpstr>auxiliary_heating</vt:lpstr>
      <vt:lpstr>alarm_system</vt:lpstr>
      <vt:lpstr>garage_type</vt:lpstr>
      <vt:lpstr>basement</vt:lpstr>
      <vt:lpstr>roof_type</vt:lpstr>
      <vt:lpstr>roof_year</vt:lpstr>
      <vt:lpstr>skylight_presence</vt:lpstr>
      <vt:lpstr>pool_presence</vt:lpstr>
      <vt:lpstr>water_body_proximity</vt:lpstr>
      <vt:lpstr>fire_station_proximity</vt:lpstr>
      <vt:lpstr>hydrant_proximity</vt:lpstr>
      <vt:lpstr>room_rental</vt:lpstr>
      <vt:lpstr>commercial_activities</vt:lpstr>
      <vt:lpstr>mortgage</vt:lpstr>
      <vt:lpstr>deductible</vt:lpstr>
      <vt:lpstr>earthquake_coverage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Kaboré</cp:lastModifiedBy>
  <dcterms:created xsi:type="dcterms:W3CDTF">2025-10-31T07:23:40Z</dcterms:created>
  <dcterms:modified xsi:type="dcterms:W3CDTF">2025-10-31T07:38:55Z</dcterms:modified>
</cp:coreProperties>
</file>